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euille1" sheetId="1" state="visible" r:id="rId1"/>
    <sheet name="PA" sheetId="2" state="visible" r:id="rId2"/>
    <sheet name="ll_ln" sheetId="3" state="visible" r:id="rId3"/>
    <sheet name="Epow" sheetId="4" state="visible" r:id="rId4"/>
    <sheet name="PS_lin" sheetId="5" state="visible" r:id="rId5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<sst xmlns="http://schemas.openxmlformats.org/spreadsheetml/2006/main" count="145" uniqueCount="145">
  <si>
    <t>Group</t>
  </si>
  <si>
    <t>Sexe</t>
  </si>
  <si>
    <t xml:space="preserve"> AGE</t>
  </si>
  <si>
    <t>D_P1_small</t>
  </si>
  <si>
    <t>D_P2_small</t>
  </si>
  <si>
    <t>D_Tot_small</t>
  </si>
  <si>
    <t>D_Int_small</t>
  </si>
  <si>
    <t>L1_small</t>
  </si>
  <si>
    <t>L2_small</t>
  </si>
  <si>
    <t>Tdec1_small</t>
  </si>
  <si>
    <t>pTdec1_small</t>
  </si>
  <si>
    <t>PA-Velocity_Small</t>
  </si>
  <si>
    <t>Sparc_small</t>
  </si>
  <si>
    <t>CurveInd_small</t>
  </si>
  <si>
    <t>D_P1_large</t>
  </si>
  <si>
    <t>D_P2_large</t>
  </si>
  <si>
    <t>D_Tot_large</t>
  </si>
  <si>
    <t>D_Int_large</t>
  </si>
  <si>
    <t>L1_large</t>
  </si>
  <si>
    <t>L2_large</t>
  </si>
  <si>
    <t>Tdec1_large</t>
  </si>
  <si>
    <t>pTdec1_large</t>
  </si>
  <si>
    <t>PA_Velocity_Large</t>
  </si>
  <si>
    <t>Sparc_large</t>
  </si>
  <si>
    <t>CurveInd_large</t>
  </si>
  <si>
    <t>D_P1_Small-large</t>
  </si>
  <si>
    <t>D_L1_LL</t>
  </si>
  <si>
    <t>D_Tot_LL</t>
  </si>
  <si>
    <t>D_Int_LL</t>
  </si>
  <si>
    <t>D_Up_LL</t>
  </si>
  <si>
    <t>D_Down_LL</t>
  </si>
  <si>
    <t>L1_LL</t>
  </si>
  <si>
    <t>LL_velocity</t>
  </si>
  <si>
    <t>SPARC_LL</t>
  </si>
  <si>
    <t>PTD_L1-LL</t>
  </si>
  <si>
    <t>D_L1_LN</t>
  </si>
  <si>
    <t>D_Tot_LN</t>
  </si>
  <si>
    <t>D_Int_LN</t>
  </si>
  <si>
    <t>D_Up_LN</t>
  </si>
  <si>
    <t>D_Down_LN</t>
  </si>
  <si>
    <t>L1_LN</t>
  </si>
  <si>
    <t>LN_velocity</t>
  </si>
  <si>
    <t>SPARC_LN</t>
  </si>
  <si>
    <t>PTD_L1-LN</t>
  </si>
  <si>
    <t>D_LN-LL</t>
  </si>
  <si>
    <t>D_DOWN_LN-LL</t>
  </si>
  <si>
    <t>To</t>
  </si>
  <si>
    <t>Gamma</t>
  </si>
  <si>
    <t>r2</t>
  </si>
  <si>
    <t>r2bis</t>
  </si>
  <si>
    <t>Dur_e1</t>
  </si>
  <si>
    <t>Dur_eUp1</t>
  </si>
  <si>
    <t>Longueur1</t>
  </si>
  <si>
    <t>L_T1</t>
  </si>
  <si>
    <t>Sparc1</t>
  </si>
  <si>
    <t>Dur_e2</t>
  </si>
  <si>
    <t>Dur_eUp2</t>
  </si>
  <si>
    <t>Longueur2</t>
  </si>
  <si>
    <t>L_T2</t>
  </si>
  <si>
    <t>Sparc2</t>
  </si>
  <si>
    <t>Dur_e3</t>
  </si>
  <si>
    <t>Dur_eUp3</t>
  </si>
  <si>
    <t>Longueur3</t>
  </si>
  <si>
    <t>L_T3</t>
  </si>
  <si>
    <t>Sparc3</t>
  </si>
  <si>
    <t>Dur_e4</t>
  </si>
  <si>
    <t>Dur_eUp4</t>
  </si>
  <si>
    <t>Longueur4</t>
  </si>
  <si>
    <t>L_T4</t>
  </si>
  <si>
    <t>Sparc4</t>
  </si>
  <si>
    <t>Dur_e5</t>
  </si>
  <si>
    <t>Dur_eUp5</t>
  </si>
  <si>
    <t>Longueur5</t>
  </si>
  <si>
    <t>L_T5</t>
  </si>
  <si>
    <t>Sparc5</t>
  </si>
  <si>
    <t>a</t>
  </si>
  <si>
    <t>b</t>
  </si>
  <si>
    <t>D_tot3</t>
  </si>
  <si>
    <t>D_mvt3</t>
  </si>
  <si>
    <t>T_rea3</t>
  </si>
  <si>
    <t>L_Dmvt3</t>
  </si>
  <si>
    <t>Delai3</t>
  </si>
  <si>
    <t>IDr3</t>
  </si>
  <si>
    <t>T2Pv3</t>
  </si>
  <si>
    <t>T2Pa3</t>
  </si>
  <si>
    <t>Tdec3</t>
  </si>
  <si>
    <t>pT2Pv3</t>
  </si>
  <si>
    <t>pT2Pa3</t>
  </si>
  <si>
    <t>pTdec3</t>
  </si>
  <si>
    <t>Sparc_pv3</t>
  </si>
  <si>
    <t>CurveInd3</t>
  </si>
  <si>
    <t>Nb_sub3</t>
  </si>
  <si>
    <t>D_tot4</t>
  </si>
  <si>
    <t>D_mvt4</t>
  </si>
  <si>
    <t>T_rea4</t>
  </si>
  <si>
    <t>L_Dmvt4</t>
  </si>
  <si>
    <t>Delai4</t>
  </si>
  <si>
    <t>IDr4</t>
  </si>
  <si>
    <t>T2Pv4</t>
  </si>
  <si>
    <t>T2Pa4</t>
  </si>
  <si>
    <t>Tdec4</t>
  </si>
  <si>
    <t>pT2Pv4</t>
  </si>
  <si>
    <t>pT2Pa4</t>
  </si>
  <si>
    <t>pTdec4</t>
  </si>
  <si>
    <t>Sparc_pv4</t>
  </si>
  <si>
    <t>CurveInd4</t>
  </si>
  <si>
    <t>Nb_sub4</t>
  </si>
  <si>
    <t>D_tot5</t>
  </si>
  <si>
    <t>D_mvt5</t>
  </si>
  <si>
    <t>T_rea5</t>
  </si>
  <si>
    <t>L_Dmvt5</t>
  </si>
  <si>
    <t>Delai5</t>
  </si>
  <si>
    <t>IDr5</t>
  </si>
  <si>
    <t>T2Pv5</t>
  </si>
  <si>
    <t>T2Pa5</t>
  </si>
  <si>
    <t>Tdec5</t>
  </si>
  <si>
    <t>pT2Pv5</t>
  </si>
  <si>
    <t>pT2Pa5</t>
  </si>
  <si>
    <t>pTdec5</t>
  </si>
  <si>
    <t>Sparc_pv5</t>
  </si>
  <si>
    <t>CurveInd5</t>
  </si>
  <si>
    <t>Nb_sub5</t>
  </si>
  <si>
    <t>D_tot6</t>
  </si>
  <si>
    <t>D_mvt6</t>
  </si>
  <si>
    <t>T_rea6</t>
  </si>
  <si>
    <t>Longueur6</t>
  </si>
  <si>
    <t>L_Dmvt6</t>
  </si>
  <si>
    <t>Delai6</t>
  </si>
  <si>
    <t>T2Pv6</t>
  </si>
  <si>
    <t>T2Pa6</t>
  </si>
  <si>
    <t>Tdec6</t>
  </si>
  <si>
    <t>pT2Pv6</t>
  </si>
  <si>
    <t>pT2Pa6</t>
  </si>
  <si>
    <t>pTdec6</t>
  </si>
  <si>
    <t>Sparc6</t>
  </si>
  <si>
    <t>Sparc_pv6</t>
  </si>
  <si>
    <t>CurveInd6</t>
  </si>
  <si>
    <t>Nb_sub6</t>
  </si>
  <si>
    <t>TD</t>
  </si>
  <si>
    <t>ASD</t>
  </si>
  <si>
    <t>IDt3</t>
  </si>
  <si>
    <t>IDt4</t>
  </si>
  <si>
    <t>IDt5</t>
  </si>
  <si>
    <t>IDt6</t>
  </si>
  <si>
    <t>IDr6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</si>
</sst>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1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b/>
      <sz val="11.000000"/>
      <name val="Calibri"/>
    </font>
    <font>
      <sz val="11.000000"/>
      <color rgb="FF00B050"/>
      <name val="Calibri"/>
      <scheme val="minor"/>
    </font>
    <font>
      <sz val="11.000000"/>
      <name val="Calibri"/>
      <scheme val="minor"/>
    </font>
    <font>
      <sz val="11.000000"/>
      <color rgb="FF00B0F0"/>
      <name val="Calibri"/>
      <scheme val="minor"/>
    </font>
    <font>
      <sz val="11.000000"/>
      <color rgb="FF9C0006"/>
      <name val="Calibri"/>
      <scheme val="minor"/>
    </font>
    <font>
      <b/>
      <sz val="11.000000"/>
      <color rgb="FF00B050"/>
      <name val="Calibri"/>
    </font>
    <font>
      <sz val="11.000000"/>
      <color theme="0"/>
      <name val="Calibri"/>
      <scheme val="minor"/>
    </font>
    <font>
      <sz val="11.000000"/>
      <color rgb="FF92D050"/>
      <name val="Calibri"/>
      <scheme val="minor"/>
    </font>
    <font>
      <b/>
      <sz val="11.000000"/>
      <color rgb="FF00B0F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theme="1"/>
      </patternFill>
    </fill>
    <fill>
      <patternFill patternType="solid">
        <fgColor indexed="5"/>
        <bgColor indexed="5"/>
      </patternFill>
    </fill>
    <fill>
      <patternFill patternType="solid">
        <fgColor indexed="5"/>
      </patternFill>
    </fill>
  </fills>
  <borders count="31">
    <border>
      <left style="none"/>
      <right style="none"/>
      <top style="none"/>
      <bottom style="none"/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none"/>
      <right style="none"/>
      <top style="medium">
        <color auto="1"/>
      </top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medium">
        <color auto="1"/>
      </right>
      <top style="none"/>
      <bottom style="none"/>
      <diagonal style="none"/>
    </border>
    <border>
      <left style="medium">
        <color auto="1"/>
      </left>
      <right style="none"/>
      <top style="medium">
        <color auto="1"/>
      </top>
      <bottom style="none"/>
      <diagonal style="none"/>
    </border>
    <border>
      <left style="none"/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none"/>
      <top style="medium">
        <color auto="1"/>
      </top>
      <bottom style="none"/>
      <diagonal style="none"/>
    </border>
    <border>
      <left style="none"/>
      <right style="medium">
        <color auto="1"/>
      </right>
      <top style="medium">
        <color auto="1"/>
      </top>
      <bottom style="none"/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medium">
        <color auto="1"/>
      </left>
      <right style="medium">
        <color auto="1"/>
      </right>
      <top style="none"/>
      <bottom style="none"/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medium">
        <color auto="1"/>
      </left>
      <right style="none"/>
      <top style="none"/>
      <bottom style="medium">
        <color auto="1"/>
      </bottom>
      <diagonal style="none"/>
    </border>
    <border>
      <left style="none"/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none"/>
      <top style="none"/>
      <bottom style="medium">
        <color auto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medium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medium">
        <color auto="1"/>
      </left>
      <right style="none"/>
      <top style="thin">
        <color auto="1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179">
    <xf fontId="0" fillId="0" borderId="0" numFmtId="0" xfId="0"/>
    <xf fontId="1" fillId="0" borderId="1" numFmtId="0" xfId="0" applyFont="1" applyBorder="1" applyAlignment="1">
      <alignment horizontal="center" vertical="center" wrapText="1"/>
    </xf>
    <xf fontId="2" fillId="0" borderId="2" numFmtId="0" xfId="0" applyFont="1" applyBorder="1" applyAlignment="1">
      <alignment horizontal="center" vertical="center" wrapText="1"/>
    </xf>
    <xf fontId="2" fillId="0" borderId="3" numFmtId="0" xfId="0" applyFont="1" applyBorder="1" applyAlignment="1">
      <alignment horizontal="center" vertical="center" wrapText="1"/>
    </xf>
    <xf fontId="0" fillId="0" borderId="4" numFmtId="0" xfId="0" applyBorder="1" applyAlignment="1">
      <alignment horizontal="center" vertical="center" wrapText="1"/>
    </xf>
    <xf fontId="0" fillId="0" borderId="2" numFmtId="0" xfId="0" applyBorder="1" applyAlignment="1">
      <alignment horizontal="center" vertical="center" wrapText="1"/>
    </xf>
    <xf fontId="0" fillId="0" borderId="5" numFmtId="0" xfId="0" applyBorder="1" applyAlignment="1">
      <alignment horizontal="center" vertical="center" wrapText="1"/>
    </xf>
    <xf fontId="0" fillId="0" borderId="6" numFmtId="0" xfId="0" applyBorder="1" applyAlignment="1">
      <alignment horizontal="center" vertical="center" wrapText="1"/>
    </xf>
    <xf fontId="0" fillId="0" borderId="1" numFmtId="0" xfId="0" applyBorder="1" applyAlignment="1">
      <alignment horizontal="center" vertical="center" wrapText="1"/>
    </xf>
    <xf fontId="0" fillId="0" borderId="7" numFmtId="0" xfId="0" applyBorder="1" applyAlignment="1">
      <alignment horizontal="center" vertical="center" wrapText="1"/>
    </xf>
    <xf fontId="0" fillId="0" borderId="8" numFmtId="0" xfId="0" applyBorder="1" applyAlignment="1">
      <alignment horizontal="center" vertical="center" wrapText="1"/>
    </xf>
    <xf fontId="1" fillId="0" borderId="5" numFmtId="0" xfId="0" applyFont="1" applyBorder="1" applyAlignment="1">
      <alignment horizontal="center" vertical="center" wrapText="1"/>
    </xf>
    <xf fontId="0" fillId="0" borderId="6" numFmtId="0" xfId="0" applyBorder="1" applyAlignment="1">
      <alignment vertical="center" wrapText="1"/>
    </xf>
    <xf fontId="0" fillId="0" borderId="2" numFmtId="0" xfId="0" applyBorder="1" applyAlignment="1">
      <alignment vertical="center" wrapText="1"/>
    </xf>
    <xf fontId="0" fillId="0" borderId="3" numFmtId="0" xfId="0" applyBorder="1" applyAlignment="1">
      <alignment horizontal="center" vertical="center" wrapText="1"/>
    </xf>
    <xf fontId="0" fillId="0" borderId="4" numFmtId="0" xfId="0" applyBorder="1" applyAlignment="1">
      <alignment vertical="center"/>
    </xf>
    <xf fontId="0" fillId="0" borderId="2" numFmtId="0" xfId="0" applyBorder="1" applyAlignment="1">
      <alignment vertical="center"/>
    </xf>
    <xf fontId="0" fillId="0" borderId="5" numFmtId="0" xfId="0" applyBorder="1" applyAlignment="1">
      <alignment vertical="center"/>
    </xf>
    <xf fontId="0" fillId="0" borderId="6" numFmtId="0" xfId="0" applyBorder="1"/>
    <xf fontId="0" fillId="0" borderId="2" numFmtId="0" xfId="0" applyBorder="1"/>
    <xf fontId="0" fillId="0" borderId="1" numFmtId="0" xfId="0" applyBorder="1"/>
    <xf fontId="0" fillId="0" borderId="4" numFmtId="0" xfId="0" applyBorder="1"/>
    <xf fontId="1" fillId="0" borderId="4" numFmtId="0" xfId="0" applyFont="1" applyBorder="1" applyAlignment="1">
      <alignment horizontal="center" vertical="center"/>
    </xf>
    <xf fontId="1" fillId="0" borderId="2" numFmtId="0" xfId="0" applyFont="1" applyBorder="1" applyAlignment="1">
      <alignment horizontal="center" vertical="center"/>
    </xf>
    <xf fontId="0" fillId="0" borderId="2" numFmtId="0" xfId="0" applyBorder="1" applyAlignment="1">
      <alignment horizontal="center" vertical="center"/>
    </xf>
    <xf fontId="0" fillId="0" borderId="5" numFmtId="0" xfId="0" applyBorder="1" applyAlignment="1">
      <alignment horizontal="center" vertical="center"/>
    </xf>
    <xf fontId="0" fillId="0" borderId="6" numFmtId="0" xfId="0" applyBorder="1" applyAlignment="1">
      <alignment horizontal="center" vertical="center"/>
    </xf>
    <xf fontId="0" fillId="0" borderId="1" numFmtId="0" xfId="0" applyBorder="1" applyAlignment="1">
      <alignment horizontal="center" vertical="center"/>
    </xf>
    <xf fontId="3" fillId="0" borderId="8" numFmtId="0" xfId="0" applyFont="1" applyBorder="1" applyAlignment="1">
      <alignment horizontal="center"/>
    </xf>
    <xf fontId="0" fillId="0" borderId="8" numFmtId="2" xfId="0" applyNumberFormat="1" applyBorder="1" applyAlignment="1">
      <alignment horizontal="center"/>
    </xf>
    <xf fontId="0" fillId="0" borderId="0" numFmtId="2" xfId="0" applyNumberFormat="1"/>
    <xf fontId="0" fillId="0" borderId="9" numFmtId="2" xfId="0" applyNumberFormat="1" applyBorder="1"/>
    <xf fontId="0" fillId="0" borderId="10" numFmtId="2" xfId="0" applyNumberFormat="1" applyBorder="1"/>
    <xf fontId="0" fillId="0" borderId="11" numFmtId="2" xfId="0" applyNumberFormat="1" applyBorder="1"/>
    <xf fontId="0" fillId="0" borderId="8" numFmtId="2" xfId="0" applyNumberFormat="1" applyBorder="1"/>
    <xf fontId="0" fillId="0" borderId="12" numFmtId="1" xfId="0" applyNumberFormat="1" applyBorder="1" applyAlignment="1">
      <alignment horizontal="center"/>
    </xf>
    <xf fontId="0" fillId="0" borderId="13" numFmtId="2" xfId="0" applyNumberFormat="1" applyBorder="1"/>
    <xf fontId="0" fillId="0" borderId="14" numFmtId="1" xfId="0" applyNumberFormat="1" applyBorder="1" applyAlignment="1">
      <alignment horizontal="center"/>
    </xf>
    <xf fontId="0" fillId="0" borderId="7" numFmtId="2" xfId="0" applyNumberFormat="1" applyBorder="1"/>
    <xf fontId="0" fillId="0" borderId="15" numFmtId="2" xfId="0" applyNumberFormat="1" applyBorder="1"/>
    <xf fontId="3" fillId="0" borderId="11" numFmtId="2" xfId="0" applyNumberFormat="1" applyFont="1" applyBorder="1"/>
    <xf fontId="3" fillId="0" borderId="8" numFmtId="2" xfId="0" applyNumberFormat="1" applyFont="1" applyBorder="1"/>
    <xf fontId="4" fillId="0" borderId="0" numFmtId="0" xfId="0" applyFont="1" applyAlignment="1">
      <alignment horizontal="center"/>
    </xf>
    <xf fontId="0" fillId="0" borderId="0" numFmtId="0" xfId="0" applyAlignment="1">
      <alignment horizontal="center"/>
    </xf>
    <xf fontId="0" fillId="0" borderId="9" numFmtId="1" xfId="0" applyNumberFormat="1" applyBorder="1" applyAlignment="1">
      <alignment horizontal="center"/>
    </xf>
    <xf fontId="0" fillId="0" borderId="15" numFmtId="1" xfId="0" applyNumberFormat="1" applyBorder="1" applyAlignment="1">
      <alignment horizontal="center"/>
    </xf>
    <xf fontId="0" fillId="0" borderId="16" numFmtId="2" xfId="0" applyNumberFormat="1" applyBorder="1"/>
    <xf fontId="3" fillId="0" borderId="0" numFmtId="0" xfId="0" applyFont="1" applyAlignment="1">
      <alignment horizontal="center" vertical="center"/>
    </xf>
    <xf fontId="5" fillId="0" borderId="0" numFmtId="2" xfId="0" applyNumberFormat="1" applyFont="1" applyAlignment="1">
      <alignment horizontal="right" vertical="center"/>
    </xf>
    <xf fontId="3" fillId="0" borderId="0" numFmtId="2" xfId="0" applyNumberFormat="1" applyFont="1"/>
    <xf fontId="6" fillId="2" borderId="10" numFmtId="2" xfId="0" applyNumberFormat="1" applyFont="1" applyFill="1" applyBorder="1"/>
    <xf fontId="7" fillId="0" borderId="0" numFmtId="0" xfId="0" applyFont="1" applyAlignment="1">
      <alignment horizontal="center" vertical="center"/>
    </xf>
    <xf fontId="3" fillId="0" borderId="0" numFmtId="0" xfId="0" applyFont="1" applyAlignment="1">
      <alignment horizontal="center"/>
    </xf>
    <xf fontId="0" fillId="0" borderId="0" numFmtId="2" xfId="0" applyNumberFormat="1" applyAlignment="1">
      <alignment horizontal="right" vertical="center"/>
    </xf>
    <xf fontId="8" fillId="3" borderId="0" numFmtId="0" xfId="0" applyFont="1" applyFill="1" applyAlignment="1">
      <alignment horizontal="center"/>
    </xf>
    <xf fontId="0" fillId="0" borderId="0" numFmtId="0" xfId="0"/>
    <xf fontId="7" fillId="4" borderId="0" numFmtId="0" xfId="0" applyFont="1" applyFill="1" applyAlignment="1">
      <alignment horizontal="center" vertical="center"/>
    </xf>
    <xf fontId="5" fillId="4" borderId="0" numFmtId="2" xfId="0" applyNumberFormat="1" applyFont="1" applyFill="1" applyAlignment="1">
      <alignment horizontal="right" vertical="center"/>
    </xf>
    <xf fontId="0" fillId="0" borderId="0" numFmtId="2" xfId="0" applyNumberFormat="1"/>
    <xf fontId="3" fillId="5" borderId="0" numFmtId="0" xfId="0" applyFont="1" applyFill="1" applyAlignment="1">
      <alignment horizontal="center"/>
    </xf>
    <xf fontId="0" fillId="5" borderId="0" numFmtId="0" xfId="0" applyFill="1"/>
    <xf fontId="0" fillId="0" borderId="0" numFmtId="2" xfId="0" applyNumberFormat="1" applyAlignment="1">
      <alignment horizontal="center"/>
    </xf>
    <xf fontId="9" fillId="0" borderId="0" numFmtId="0" xfId="0" applyFont="1" applyAlignment="1">
      <alignment horizontal="center"/>
    </xf>
    <xf fontId="9" fillId="0" borderId="0" numFmtId="0" xfId="0" applyFont="1"/>
    <xf fontId="4" fillId="0" borderId="17" numFmtId="0" xfId="0" applyFont="1" applyBorder="1" applyAlignment="1">
      <alignment horizontal="center"/>
    </xf>
    <xf fontId="0" fillId="0" borderId="17" numFmtId="0" xfId="0" applyBorder="1" applyAlignment="1">
      <alignment horizontal="center"/>
    </xf>
    <xf fontId="0" fillId="0" borderId="18" numFmtId="2" xfId="0" applyNumberFormat="1" applyBorder="1"/>
    <xf fontId="0" fillId="0" borderId="17" numFmtId="2" xfId="0" applyNumberFormat="1" applyBorder="1"/>
    <xf fontId="0" fillId="0" borderId="19" numFmtId="1" xfId="0" applyNumberFormat="1" applyBorder="1" applyAlignment="1">
      <alignment horizontal="center"/>
    </xf>
    <xf fontId="0" fillId="0" borderId="20" numFmtId="2" xfId="0" applyNumberFormat="1" applyBorder="1"/>
    <xf fontId="0" fillId="0" borderId="21" numFmtId="1" xfId="0" applyNumberFormat="1" applyBorder="1" applyAlignment="1">
      <alignment horizontal="center"/>
    </xf>
    <xf fontId="0" fillId="0" borderId="22" numFmtId="2" xfId="0" applyNumberFormat="1" applyBorder="1"/>
    <xf fontId="0" fillId="0" borderId="0" numFmtId="1" xfId="0" applyNumberFormat="1" applyAlignment="1">
      <alignment horizontal="center"/>
    </xf>
    <xf fontId="0" fillId="0" borderId="17" numFmtId="1" xfId="0" applyNumberFormat="1" applyBorder="1" applyAlignment="1">
      <alignment horizontal="center"/>
    </xf>
    <xf fontId="0" fillId="5" borderId="0" numFmtId="2" xfId="0" applyNumberFormat="1" applyFill="1" applyAlignment="1">
      <alignment horizontal="center"/>
    </xf>
    <xf fontId="0" fillId="5" borderId="0" numFmtId="2" xfId="0" applyNumberFormat="1" applyFill="1"/>
    <xf fontId="0" fillId="5" borderId="9" numFmtId="2" xfId="0" applyNumberFormat="1" applyFill="1" applyBorder="1"/>
    <xf fontId="0" fillId="5" borderId="8" numFmtId="2" xfId="0" applyNumberFormat="1" applyFill="1" applyBorder="1"/>
    <xf fontId="0" fillId="5" borderId="15" numFmtId="2" xfId="0" applyNumberFormat="1" applyFill="1" applyBorder="1"/>
    <xf fontId="3" fillId="5" borderId="0" numFmtId="2" xfId="0" applyNumberFormat="1" applyFont="1" applyFill="1"/>
    <xf fontId="4" fillId="0" borderId="0" numFmtId="1" xfId="0" applyNumberFormat="1" applyFont="1" applyAlignment="1">
      <alignment horizontal="center"/>
    </xf>
    <xf fontId="9" fillId="0" borderId="17" numFmtId="0" xfId="0" applyFont="1" applyBorder="1" applyAlignment="1">
      <alignment horizontal="center"/>
    </xf>
    <xf fontId="3" fillId="0" borderId="17" numFmtId="0" xfId="0" applyFont="1" applyBorder="1" applyAlignment="1">
      <alignment horizontal="center"/>
    </xf>
    <xf fontId="9" fillId="0" borderId="17" numFmtId="0" xfId="0" applyFont="1" applyBorder="1"/>
    <xf fontId="0" fillId="0" borderId="19" numFmtId="2" xfId="0" applyNumberFormat="1" applyBorder="1"/>
    <xf fontId="0" fillId="0" borderId="23" numFmtId="2" xfId="0" applyNumberFormat="1" applyBorder="1"/>
    <xf fontId="0" fillId="0" borderId="24" numFmtId="2" xfId="0" applyNumberFormat="1" applyBorder="1"/>
    <xf fontId="0" fillId="0" borderId="25" numFmtId="2" xfId="0" applyNumberFormat="1" applyBorder="1"/>
    <xf fontId="0" fillId="0" borderId="26" numFmtId="2" xfId="0" applyNumberFormat="1" applyBorder="1"/>
    <xf fontId="0" fillId="0" borderId="21" numFmtId="2" xfId="0" applyNumberFormat="1" applyBorder="1"/>
    <xf fontId="3" fillId="0" borderId="18" numFmtId="2" xfId="0" applyNumberFormat="1" applyFont="1" applyBorder="1"/>
    <xf fontId="3" fillId="0" borderId="17" numFmtId="2" xfId="0" applyNumberFormat="1" applyFont="1" applyBorder="1"/>
    <xf fontId="0" fillId="0" borderId="0" numFmtId="0" xfId="0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0" fillId="0" borderId="14" numFmtId="0" xfId="0" applyBorder="1" applyAlignment="1">
      <alignment horizontal="center" vertical="center" wrapText="1"/>
    </xf>
    <xf fontId="0" fillId="5" borderId="0" numFmtId="0" xfId="0" applyFill="1"/>
    <xf fontId="0" fillId="0" borderId="7" numFmtId="0" xfId="0" applyBorder="1" applyAlignment="1">
      <alignment horizontal="center"/>
    </xf>
    <xf fontId="0" fillId="0" borderId="27" numFmtId="2" xfId="0" applyNumberFormat="1" applyBorder="1"/>
    <xf fontId="0" fillId="0" borderId="16" numFmtId="0" xfId="0" applyBorder="1" applyAlignment="1">
      <alignment horizontal="center"/>
    </xf>
    <xf fontId="5" fillId="0" borderId="16" numFmtId="0" xfId="0" applyFont="1" applyBorder="1" applyAlignment="1">
      <alignment horizontal="center" vertical="center"/>
    </xf>
    <xf fontId="10" fillId="0" borderId="16" numFmtId="0" xfId="0" applyFont="1" applyBorder="1" applyAlignment="1">
      <alignment horizontal="center" vertical="center"/>
    </xf>
    <xf fontId="0" fillId="0" borderId="0" numFmtId="0" xfId="0"/>
    <xf fontId="10" fillId="4" borderId="16" numFmtId="0" xfId="0" applyFont="1" applyFill="1" applyBorder="1" applyAlignment="1">
      <alignment horizontal="center" vertical="center"/>
    </xf>
    <xf fontId="0" fillId="5" borderId="16" numFmtId="0" xfId="0" applyFill="1" applyBorder="1" applyAlignment="1">
      <alignment horizontal="center"/>
    </xf>
    <xf fontId="9" fillId="0" borderId="16" numFmtId="0" xfId="0" applyFont="1" applyBorder="1" applyAlignment="1">
      <alignment horizontal="center"/>
    </xf>
    <xf fontId="9" fillId="0" borderId="0" numFmtId="0" xfId="0" applyFont="1"/>
    <xf fontId="0" fillId="0" borderId="22" numFmtId="0" xfId="0" applyBorder="1" applyAlignment="1">
      <alignment horizontal="center"/>
    </xf>
    <xf fontId="3" fillId="5" borderId="8" numFmtId="0" xfId="0" applyFont="1" applyFill="1" applyBorder="1" applyAlignment="1">
      <alignment horizontal="center"/>
    </xf>
    <xf fontId="0" fillId="5" borderId="7" numFmtId="0" xfId="0" applyFill="1" applyBorder="1" applyAlignment="1">
      <alignment horizontal="center"/>
    </xf>
    <xf fontId="0" fillId="5" borderId="8" numFmtId="2" xfId="0" applyNumberFormat="1" applyFill="1" applyBorder="1" applyAlignment="1">
      <alignment horizontal="center"/>
    </xf>
    <xf fontId="0" fillId="5" borderId="27" numFmtId="2" xfId="0" applyNumberFormat="1" applyFill="1" applyBorder="1"/>
    <xf fontId="9" fillId="0" borderId="22" numFmtId="0" xfId="0" applyFont="1" applyBorder="1" applyAlignment="1">
      <alignment horizontal="center"/>
    </xf>
    <xf fontId="9" fillId="0" borderId="17" numFmtId="0" xfId="0" applyFont="1" applyBorder="1"/>
    <xf fontId="0" fillId="0" borderId="0" numFmtId="0" xfId="0" applyAlignment="1">
      <alignment vertical="center"/>
    </xf>
    <xf fontId="2" fillId="0" borderId="1" numFmtId="0" xfId="0" applyFont="1" applyBorder="1" applyAlignment="1">
      <alignment horizontal="center" vertical="center"/>
    </xf>
    <xf fontId="2" fillId="0" borderId="11" numFmtId="0" xfId="0" applyFont="1" applyBorder="1" applyAlignment="1">
      <alignment horizontal="center" vertical="center"/>
    </xf>
    <xf fontId="0" fillId="0" borderId="8" numFmtId="0" xfId="0" applyBorder="1" applyAlignment="1">
      <alignment horizontal="center"/>
    </xf>
    <xf fontId="0" fillId="0" borderId="11" numFmtId="2" xfId="0" applyNumberFormat="1" applyBorder="1" applyAlignment="1">
      <alignment horizontal="center"/>
    </xf>
    <xf fontId="0" fillId="0" borderId="8" numFmtId="1" xfId="0" applyNumberFormat="1" applyBorder="1" applyAlignment="1">
      <alignment horizontal="center"/>
    </xf>
    <xf fontId="0" fillId="0" borderId="28" numFmtId="0" xfId="0" applyBorder="1" applyAlignment="1">
      <alignment horizontal="center"/>
    </xf>
    <xf fontId="0" fillId="0" borderId="28" numFmtId="2" xfId="0" applyNumberFormat="1" applyBorder="1"/>
    <xf fontId="5" fillId="0" borderId="0" numFmtId="0" xfId="0" applyFont="1" applyAlignment="1">
      <alignment horizontal="center" vertical="center"/>
    </xf>
    <xf fontId="5" fillId="0" borderId="28" numFmtId="2" xfId="0" applyNumberFormat="1" applyFont="1" applyBorder="1" applyAlignment="1">
      <alignment horizontal="right" vertical="center"/>
    </xf>
    <xf fontId="10" fillId="0" borderId="0" numFmtId="0" xfId="0" applyFont="1" applyAlignment="1">
      <alignment horizontal="center" vertical="center"/>
    </xf>
    <xf fontId="0" fillId="0" borderId="28" numFmtId="2" xfId="0" applyNumberFormat="1" applyBorder="1" applyAlignment="1">
      <alignment horizontal="right" vertical="center"/>
    </xf>
    <xf fontId="8" fillId="3" borderId="28" numFmtId="0" xfId="0" applyFont="1" applyFill="1" applyBorder="1" applyAlignment="1">
      <alignment horizontal="center"/>
    </xf>
    <xf fontId="0" fillId="0" borderId="28" numFmtId="0" xfId="0" applyBorder="1"/>
    <xf fontId="10" fillId="4" borderId="0" numFmtId="0" xfId="0" applyFont="1" applyFill="1" applyAlignment="1">
      <alignment horizontal="center" vertical="center"/>
    </xf>
    <xf fontId="5" fillId="4" borderId="28" numFmtId="2" xfId="0" applyNumberFormat="1" applyFont="1" applyFill="1" applyBorder="1" applyAlignment="1">
      <alignment horizontal="right" vertical="center"/>
    </xf>
    <xf fontId="4" fillId="0" borderId="28" numFmtId="0" xfId="0" applyFont="1" applyBorder="1" applyAlignment="1">
      <alignment horizontal="center"/>
    </xf>
    <xf fontId="0" fillId="5" borderId="0" numFmtId="0" xfId="0" applyFill="1" applyAlignment="1">
      <alignment horizontal="center"/>
    </xf>
    <xf fontId="0" fillId="5" borderId="28" numFmtId="0" xfId="0" applyFill="1" applyBorder="1"/>
    <xf fontId="0" fillId="0" borderId="28" numFmtId="2" xfId="0" applyNumberFormat="1" applyBorder="1" applyAlignment="1">
      <alignment horizontal="center"/>
    </xf>
    <xf fontId="9" fillId="0" borderId="28" numFmtId="0" xfId="0" applyFont="1" applyBorder="1"/>
    <xf fontId="0" fillId="0" borderId="14" numFmtId="2" xfId="0" applyNumberFormat="1" applyBorder="1"/>
    <xf fontId="4" fillId="0" borderId="18" numFmtId="0" xfId="0" applyFont="1" applyBorder="1" applyAlignment="1">
      <alignment horizontal="center"/>
    </xf>
    <xf fontId="0" fillId="5" borderId="15" numFmtId="0" xfId="0" applyFill="1" applyBorder="1" applyAlignment="1">
      <alignment horizontal="center"/>
    </xf>
    <xf fontId="0" fillId="5" borderId="28" numFmtId="2" xfId="0" applyNumberFormat="1" applyFill="1" applyBorder="1" applyAlignment="1">
      <alignment horizontal="center"/>
    </xf>
    <xf fontId="0" fillId="0" borderId="15" numFmtId="0" xfId="0" applyBorder="1" applyAlignment="1">
      <alignment horizontal="center"/>
    </xf>
    <xf fontId="10" fillId="0" borderId="15" numFmtId="0" xfId="0" applyFont="1" applyBorder="1" applyAlignment="1">
      <alignment horizontal="center" vertical="center"/>
    </xf>
    <xf fontId="4" fillId="0" borderId="28" numFmtId="1" xfId="0" applyNumberFormat="1" applyFont="1" applyBorder="1" applyAlignment="1">
      <alignment horizontal="center"/>
    </xf>
    <xf fontId="9" fillId="0" borderId="21" numFmtId="0" xfId="0" applyFont="1" applyBorder="1" applyAlignment="1">
      <alignment horizontal="center"/>
    </xf>
    <xf fontId="9" fillId="0" borderId="18" numFmtId="0" xfId="0" applyFont="1" applyBorder="1"/>
    <xf fontId="2" fillId="0" borderId="2" numFmtId="0" xfId="0" applyFont="1" applyBorder="1" applyAlignment="1">
      <alignment horizontal="center" vertical="center"/>
    </xf>
    <xf fontId="2" fillId="0" borderId="4" numFmtId="0" xfId="0" applyFont="1" applyBorder="1" applyAlignment="1">
      <alignment horizontal="center" vertical="center"/>
    </xf>
    <xf fontId="0" fillId="0" borderId="7" numFmtId="2" xfId="0" applyNumberFormat="1" applyBorder="1" applyAlignment="1">
      <alignment horizontal="center"/>
    </xf>
    <xf fontId="5" fillId="0" borderId="16" numFmtId="2" xfId="0" applyNumberFormat="1" applyFont="1" applyBorder="1" applyAlignment="1">
      <alignment horizontal="right" vertical="center"/>
    </xf>
    <xf fontId="0" fillId="0" borderId="16" numFmtId="2" xfId="0" applyNumberFormat="1" applyBorder="1" applyAlignment="1">
      <alignment horizontal="right" vertical="center"/>
    </xf>
    <xf fontId="8" fillId="3" borderId="16" numFmtId="0" xfId="0" applyFont="1" applyFill="1" applyBorder="1" applyAlignment="1">
      <alignment horizontal="center"/>
    </xf>
    <xf fontId="0" fillId="0" borderId="16" numFmtId="0" xfId="0" applyBorder="1"/>
    <xf fontId="5" fillId="4" borderId="16" numFmtId="2" xfId="0" applyNumberFormat="1" applyFont="1" applyFill="1" applyBorder="1" applyAlignment="1">
      <alignment horizontal="right" vertical="center"/>
    </xf>
    <xf fontId="4" fillId="0" borderId="16" numFmtId="0" xfId="0" applyFont="1" applyBorder="1" applyAlignment="1">
      <alignment horizontal="center"/>
    </xf>
    <xf fontId="0" fillId="0" borderId="16" numFmtId="2" xfId="0" applyNumberFormat="1" applyBorder="1" applyAlignment="1">
      <alignment horizontal="center"/>
    </xf>
    <xf fontId="9" fillId="0" borderId="16" numFmtId="0" xfId="0" applyFont="1" applyBorder="1"/>
    <xf fontId="0" fillId="5" borderId="28" numFmtId="2" xfId="0" applyNumberFormat="1" applyFill="1" applyBorder="1"/>
    <xf fontId="10" fillId="0" borderId="29" numFmtId="0" xfId="0" applyFont="1" applyBorder="1" applyAlignment="1">
      <alignment horizontal="center" vertical="center"/>
    </xf>
    <xf fontId="5" fillId="0" borderId="30" numFmtId="2" xfId="0" applyNumberFormat="1" applyFont="1" applyBorder="1" applyAlignment="1">
      <alignment horizontal="right" vertical="center"/>
    </xf>
    <xf fontId="0" fillId="0" borderId="29" numFmtId="0" xfId="0" applyBorder="1" applyAlignment="1">
      <alignment horizontal="center"/>
    </xf>
    <xf fontId="0" fillId="0" borderId="30" numFmtId="2" xfId="0" applyNumberFormat="1" applyBorder="1" applyAlignment="1">
      <alignment horizontal="center"/>
    </xf>
    <xf fontId="0" fillId="0" borderId="0" numFmtId="0" xfId="0" applyAlignment="1">
      <alignment horizontal="center" vertical="center"/>
    </xf>
    <xf fontId="1" fillId="0" borderId="11" numFmtId="0" xfId="0" applyFont="1" applyBorder="1" applyAlignment="1">
      <alignment horizontal="center" vertical="center"/>
    </xf>
    <xf fontId="1" fillId="0" borderId="8" numFmtId="0" xfId="0" applyFont="1" applyBorder="1" applyAlignment="1">
      <alignment horizontal="center" vertical="center"/>
    </xf>
    <xf fontId="3" fillId="0" borderId="0" numFmtId="0" xfId="0" applyFont="1"/>
    <xf fontId="3" fillId="0" borderId="11" numFmtId="2" xfId="0" applyNumberFormat="1" applyFont="1" applyBorder="1" applyAlignment="1">
      <alignment horizontal="center"/>
    </xf>
    <xf fontId="3" fillId="0" borderId="28" numFmtId="2" xfId="0" applyNumberFormat="1" applyFont="1" applyBorder="1" applyAlignment="1">
      <alignment horizontal="right" vertical="center"/>
    </xf>
    <xf fontId="3" fillId="0" borderId="28" numFmtId="2" xfId="0" applyNumberFormat="1" applyFont="1" applyBorder="1"/>
    <xf fontId="3" fillId="0" borderId="28" numFmtId="0" xfId="0" applyFont="1" applyBorder="1"/>
    <xf fontId="3" fillId="4" borderId="28" numFmtId="2" xfId="0" applyNumberFormat="1" applyFont="1" applyFill="1" applyBorder="1" applyAlignment="1">
      <alignment horizontal="right" vertical="center"/>
    </xf>
    <xf fontId="3" fillId="5" borderId="28" numFmtId="0" xfId="0" applyFont="1" applyFill="1" applyBorder="1"/>
    <xf fontId="3" fillId="0" borderId="28" numFmtId="2" xfId="0" applyNumberFormat="1" applyFont="1" applyBorder="1" applyAlignment="1">
      <alignment horizontal="center"/>
    </xf>
    <xf fontId="0" fillId="0" borderId="18" numFmtId="0" xfId="0" applyBorder="1" applyAlignment="1">
      <alignment horizontal="center"/>
    </xf>
    <xf fontId="3" fillId="0" borderId="7" numFmtId="2" xfId="0" applyNumberFormat="1" applyFont="1" applyBorder="1" applyAlignment="1">
      <alignment horizontal="center"/>
    </xf>
    <xf fontId="3" fillId="0" borderId="16" numFmtId="0" xfId="0" applyFont="1" applyBorder="1"/>
    <xf fontId="3" fillId="0" borderId="16" numFmtId="2" xfId="0" applyNumberFormat="1" applyFont="1" applyBorder="1" applyAlignment="1">
      <alignment horizontal="right" vertical="center"/>
    </xf>
    <xf fontId="3" fillId="0" borderId="16" numFmtId="2" xfId="0" applyNumberFormat="1" applyFont="1" applyBorder="1" applyAlignment="1">
      <alignment horizontal="center"/>
    </xf>
    <xf fontId="3" fillId="5" borderId="11" numFmtId="2" xfId="0" applyNumberFormat="1" applyFont="1" applyFill="1" applyBorder="1" applyAlignment="1">
      <alignment horizontal="center"/>
    </xf>
    <xf fontId="3" fillId="5" borderId="11" numFmtId="2" xfId="0" applyNumberFormat="1" applyFont="1" applyFill="1" applyBorder="1"/>
    <xf fontId="3" fillId="5" borderId="8" numFmtId="2" xfId="0" applyNumberFormat="1" applyFont="1" applyFill="1" applyBorder="1"/>
    <xf fontId="3" fillId="0" borderId="18" numFmt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DD1" zoomScale="100" workbookViewId="0">
      <selection activeCell="A1" activeCellId="0" sqref="A1"/>
    </sheetView>
  </sheetViews>
  <sheetFormatPr defaultRowHeight="14.25"/>
  <cols>
    <col customWidth="1" min="1" max="1" width="6.33203125"/>
    <col bestFit="1" customWidth="1" min="2" max="2" width="5.33203125"/>
    <col bestFit="1" customWidth="1" min="3" max="3" width="6"/>
    <col customWidth="1" min="4" max="4" width="9.109375"/>
    <col customWidth="1" min="5" max="5" width="8.44140625"/>
    <col customWidth="1" min="6" max="6" width="9.6640625"/>
    <col customWidth="1" min="7" max="8" width="6.6640625"/>
    <col customWidth="1" min="9" max="9" width="6.44140625"/>
    <col customWidth="1" min="10" max="10" width="7.44140625"/>
    <col customWidth="1" min="11" max="12" width="8"/>
    <col customWidth="1" min="13" max="13" width="6.88671875"/>
    <col customWidth="1" min="14" max="14" width="10.109375"/>
    <col bestFit="1" customWidth="1" min="15" max="16" width="10.88671875"/>
    <col bestFit="1" customWidth="1" min="17" max="17" width="11.5546875"/>
    <col bestFit="1" customWidth="1" min="18" max="18" width="11.109375"/>
    <col bestFit="1" customWidth="1" min="19" max="20" width="8.33203125"/>
    <col bestFit="1" customWidth="1" min="21" max="21" width="11.5546875"/>
    <col bestFit="1" customWidth="1" min="22" max="22" width="12.6640625"/>
    <col customWidth="1" min="23" max="23" width="12.6640625"/>
    <col bestFit="1" customWidth="1" min="24" max="24" width="11.109375"/>
    <col customWidth="1" min="25" max="25" width="8.88671875"/>
    <col bestFit="1" customWidth="1" min="26" max="26" width="12.5546875"/>
    <col bestFit="1" customWidth="1" min="27" max="27" width="5.109375"/>
    <col bestFit="1" customWidth="1" min="28" max="28" width="6.109375"/>
    <col bestFit="1" customWidth="1" min="29" max="30" width="5.6640625"/>
    <col bestFit="1" customWidth="1" min="31" max="31" width="8.44140625"/>
    <col bestFit="1" customWidth="1" min="32" max="32" width="5.5546875"/>
    <col customWidth="1" min="33" max="33" width="5.5546875"/>
    <col bestFit="1" customWidth="1" min="34" max="34" width="6.6640625"/>
    <col customWidth="1" min="35" max="35" width="6.6640625"/>
    <col bestFit="1" customWidth="1" min="36" max="36" width="5.109375"/>
    <col bestFit="1" customWidth="1" min="37" max="37" width="6.109375"/>
    <col bestFit="1" customWidth="1" min="38" max="39" width="5.6640625"/>
    <col bestFit="1" customWidth="1" min="40" max="40" width="8.44140625"/>
    <col bestFit="1" customWidth="1" min="41" max="41" width="5.5546875"/>
    <col customWidth="1" min="42" max="42" width="5.5546875"/>
    <col bestFit="1" customWidth="1" min="43" max="43" width="6.6640625"/>
    <col customWidth="1" min="44" max="46" width="6.6640625"/>
    <col bestFit="1" customWidth="1" min="47" max="47" width="5.5546875"/>
    <col bestFit="1" customWidth="1" min="48" max="48" width="7.6640625"/>
    <col bestFit="1" customWidth="1" min="49" max="49" width="4.5546875"/>
    <col bestFit="1" customWidth="1" min="50" max="50" width="5.33203125"/>
    <col bestFit="1" customWidth="1" min="51" max="51" width="7.33203125"/>
    <col bestFit="1" customWidth="1" min="52" max="52" width="9.6640625"/>
    <col bestFit="1" customWidth="1" min="53" max="53" width="10.33203125"/>
    <col bestFit="1" customWidth="1" min="54" max="54" width="5.5546875"/>
    <col bestFit="1" customWidth="1" min="55" max="55" width="6.6640625"/>
    <col bestFit="1" customWidth="1" min="56" max="56" width="7.33203125"/>
    <col bestFit="1" customWidth="1" min="57" max="57" width="9.6640625"/>
    <col bestFit="1" customWidth="1" min="58" max="58" width="10.33203125"/>
    <col bestFit="1" customWidth="1" min="59" max="59" width="5.5546875"/>
    <col bestFit="1" customWidth="1" min="60" max="60" width="6.6640625"/>
    <col bestFit="1" customWidth="1" min="61" max="61" width="7.33203125"/>
    <col bestFit="1" customWidth="1" min="62" max="62" width="9.6640625"/>
    <col bestFit="1" customWidth="1" min="63" max="63" width="10.33203125"/>
    <col bestFit="1" customWidth="1" min="64" max="64" width="5.5546875"/>
    <col bestFit="1" customWidth="1" min="65" max="65" width="6.6640625"/>
    <col bestFit="1" customWidth="1" min="66" max="66" width="7.33203125"/>
    <col bestFit="1" customWidth="1" min="67" max="67" width="9.6640625"/>
    <col bestFit="1" customWidth="1" min="68" max="68" width="10.33203125"/>
    <col bestFit="1" customWidth="1" min="69" max="69" width="5.5546875"/>
    <col bestFit="1" customWidth="1" min="70" max="70" width="6.6640625"/>
    <col bestFit="1" customWidth="1" min="71" max="71" width="7.33203125"/>
    <col bestFit="1" customWidth="1" min="72" max="72" width="9.6640625"/>
    <col bestFit="1" customWidth="1" min="73" max="73" width="10.33203125"/>
    <col bestFit="1" customWidth="1" min="74" max="74" width="5.5546875"/>
    <col bestFit="1" customWidth="1" min="75" max="75" width="6.6640625"/>
    <col bestFit="1" customWidth="1" min="76" max="77" width="5.33203125"/>
    <col bestFit="1" customWidth="1" min="78" max="78" width="4.5546875"/>
    <col bestFit="1" customWidth="1" min="79" max="79" width="6.88671875"/>
    <col bestFit="1" customWidth="1" min="80" max="80" width="7.6640625"/>
    <col bestFit="1" customWidth="1" min="81" max="81" width="6.88671875"/>
    <col bestFit="1" customWidth="1" min="82" max="82" width="10.33203125"/>
    <col bestFit="1" customWidth="1" min="83" max="83" width="8.5546875"/>
    <col bestFit="1" customWidth="1" min="84" max="84" width="6.5546875"/>
    <col bestFit="1" customWidth="1" min="85" max="85" width="4.5546875"/>
    <col bestFit="1" customWidth="1" min="86" max="88" width="6.109375"/>
    <col bestFit="1" customWidth="1" min="89" max="91" width="7.33203125"/>
    <col bestFit="1" customWidth="1" min="92" max="92" width="6.6640625"/>
    <col bestFit="1" customWidth="1" min="93" max="93" width="9.88671875"/>
    <col bestFit="1" customWidth="1" min="94" max="94" width="10"/>
    <col bestFit="1" customWidth="1" min="95" max="95" width="8.6640625"/>
    <col bestFit="1" customWidth="1" min="96" max="96" width="6.88671875"/>
    <col bestFit="1" customWidth="1" min="97" max="97" width="7.6640625"/>
    <col bestFit="1" customWidth="1" min="98" max="98" width="6.88671875"/>
    <col bestFit="1" customWidth="1" min="99" max="99" width="10.33203125"/>
    <col bestFit="1" customWidth="1" min="100" max="100" width="8.5546875"/>
    <col bestFit="1" customWidth="1" min="101" max="101" width="6.5546875"/>
    <col bestFit="1" customWidth="1" min="102" max="102" width="4.5546875"/>
    <col bestFit="1" customWidth="1" min="103" max="105" width="6.109375"/>
    <col bestFit="1" customWidth="1" min="106" max="108" width="7.33203125"/>
    <col bestFit="1" customWidth="1" min="109" max="109" width="6.6640625"/>
    <col bestFit="1" customWidth="1" min="110" max="110" width="9.88671875"/>
    <col bestFit="1" customWidth="1" min="111" max="111" width="10"/>
    <col bestFit="1" customWidth="1" min="112" max="112" width="8.6640625"/>
    <col bestFit="1" customWidth="1" min="113" max="113" width="6.88671875"/>
    <col bestFit="1" customWidth="1" min="114" max="114" width="7.6640625"/>
    <col bestFit="1" customWidth="1" min="115" max="115" width="6.88671875"/>
    <col bestFit="1" customWidth="1" min="116" max="116" width="10.33203125"/>
    <col bestFit="1" customWidth="1" min="117" max="117" width="8.5546875"/>
    <col bestFit="1" customWidth="1" min="118" max="118" width="6.5546875"/>
    <col bestFit="1" customWidth="1" min="119" max="119" width="4.5546875"/>
    <col bestFit="1" customWidth="1" min="120" max="122" width="6.109375"/>
    <col bestFit="1" customWidth="1" min="123" max="125" width="7.33203125"/>
    <col bestFit="1" customWidth="1" min="126" max="126" width="6.6640625"/>
    <col bestFit="1" customWidth="1" min="127" max="127" width="9.88671875"/>
    <col bestFit="1" customWidth="1" min="128" max="128" width="10"/>
    <col bestFit="1" customWidth="1" min="129" max="129" width="8.6640625"/>
    <col bestFit="1" customWidth="1" min="130" max="130" width="6.88671875"/>
    <col bestFit="1" customWidth="1" min="131" max="131" width="7.6640625"/>
    <col bestFit="1" customWidth="1" min="132" max="132" width="6.88671875"/>
    <col bestFit="1" customWidth="1" min="133" max="133" width="10.33203125"/>
    <col bestFit="1" customWidth="1" min="134" max="134" width="8.5546875"/>
    <col bestFit="1" customWidth="1" min="135" max="135" width="6.5546875"/>
    <col bestFit="1" customWidth="1" min="136" max="138" width="6.109375"/>
    <col bestFit="1" customWidth="1" min="139" max="141" width="7.33203125"/>
    <col bestFit="1" customWidth="1" min="142" max="142" width="6.6640625"/>
    <col bestFit="1" customWidth="1" min="143" max="143" width="9.88671875"/>
    <col bestFit="1" customWidth="1" min="144" max="144" width="10"/>
    <col bestFit="1" customWidth="1" min="145" max="145" width="8.6640625"/>
  </cols>
  <sheetData>
    <row r="1" ht="42.7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7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8" t="s">
        <v>24</v>
      </c>
      <c r="Z1" s="9" t="s">
        <v>25</v>
      </c>
      <c r="AA1" s="4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10" t="s">
        <v>32</v>
      </c>
      <c r="AH1" s="5" t="s">
        <v>33</v>
      </c>
      <c r="AI1" s="11" t="s">
        <v>34</v>
      </c>
      <c r="AJ1" s="12" t="s">
        <v>35</v>
      </c>
      <c r="AK1" s="13" t="s">
        <v>36</v>
      </c>
      <c r="AL1" s="13" t="s">
        <v>37</v>
      </c>
      <c r="AM1" s="13" t="s">
        <v>38</v>
      </c>
      <c r="AN1" s="5" t="s">
        <v>39</v>
      </c>
      <c r="AO1" s="5" t="s">
        <v>40</v>
      </c>
      <c r="AP1" s="10" t="s">
        <v>41</v>
      </c>
      <c r="AQ1" s="5" t="s">
        <v>42</v>
      </c>
      <c r="AR1" s="1" t="s">
        <v>43</v>
      </c>
      <c r="AS1" s="14" t="s">
        <v>44</v>
      </c>
      <c r="AT1" s="14" t="s">
        <v>45</v>
      </c>
      <c r="AU1" s="15" t="s">
        <v>46</v>
      </c>
      <c r="AV1" s="16" t="s">
        <v>47</v>
      </c>
      <c r="AW1" s="16" t="s">
        <v>48</v>
      </c>
      <c r="AX1" s="17" t="s">
        <v>49</v>
      </c>
      <c r="AY1" s="18" t="s">
        <v>50</v>
      </c>
      <c r="AZ1" s="19" t="s">
        <v>51</v>
      </c>
      <c r="BA1" s="19" t="s">
        <v>52</v>
      </c>
      <c r="BB1" s="19" t="s">
        <v>53</v>
      </c>
      <c r="BC1" s="20" t="s">
        <v>54</v>
      </c>
      <c r="BD1" s="21" t="s">
        <v>55</v>
      </c>
      <c r="BE1" s="19" t="s">
        <v>56</v>
      </c>
      <c r="BF1" s="19" t="s">
        <v>57</v>
      </c>
      <c r="BG1" s="19" t="s">
        <v>58</v>
      </c>
      <c r="BH1" s="20" t="s">
        <v>59</v>
      </c>
      <c r="BI1" s="21" t="s">
        <v>60</v>
      </c>
      <c r="BJ1" s="19" t="s">
        <v>61</v>
      </c>
      <c r="BK1" s="19" t="s">
        <v>62</v>
      </c>
      <c r="BL1" s="19" t="s">
        <v>63</v>
      </c>
      <c r="BM1" s="20" t="s">
        <v>64</v>
      </c>
      <c r="BN1" s="21" t="s">
        <v>65</v>
      </c>
      <c r="BO1" s="19" t="s">
        <v>66</v>
      </c>
      <c r="BP1" s="19" t="s">
        <v>67</v>
      </c>
      <c r="BQ1" s="19" t="s">
        <v>68</v>
      </c>
      <c r="BR1" s="20" t="s">
        <v>69</v>
      </c>
      <c r="BS1" s="21" t="s">
        <v>70</v>
      </c>
      <c r="BT1" s="19" t="s">
        <v>71</v>
      </c>
      <c r="BU1" s="19" t="s">
        <v>72</v>
      </c>
      <c r="BV1" s="19" t="s">
        <v>73</v>
      </c>
      <c r="BW1" s="20" t="s">
        <v>74</v>
      </c>
      <c r="BX1" s="22" t="s">
        <v>75</v>
      </c>
      <c r="BY1" s="23" t="s">
        <v>76</v>
      </c>
      <c r="BZ1" s="23" t="s">
        <v>48</v>
      </c>
      <c r="CA1" s="24" t="s">
        <v>77</v>
      </c>
      <c r="CB1" s="24" t="s">
        <v>78</v>
      </c>
      <c r="CC1" s="24" t="s">
        <v>79</v>
      </c>
      <c r="CD1" s="24" t="s">
        <v>62</v>
      </c>
      <c r="CE1" s="24" t="s">
        <v>80</v>
      </c>
      <c r="CF1" s="24" t="s">
        <v>81</v>
      </c>
      <c r="CG1" s="24" t="s">
        <v>82</v>
      </c>
      <c r="CH1" s="24" t="s">
        <v>83</v>
      </c>
      <c r="CI1" s="24" t="s">
        <v>84</v>
      </c>
      <c r="CJ1" s="24" t="s">
        <v>85</v>
      </c>
      <c r="CK1" s="24" t="s">
        <v>86</v>
      </c>
      <c r="CL1" s="24" t="s">
        <v>87</v>
      </c>
      <c r="CM1" s="24" t="s">
        <v>88</v>
      </c>
      <c r="CN1" s="24" t="s">
        <v>64</v>
      </c>
      <c r="CO1" s="24" t="s">
        <v>89</v>
      </c>
      <c r="CP1" s="24" t="s">
        <v>90</v>
      </c>
      <c r="CQ1" s="25" t="s">
        <v>91</v>
      </c>
      <c r="CR1" s="26" t="s">
        <v>92</v>
      </c>
      <c r="CS1" s="24" t="s">
        <v>93</v>
      </c>
      <c r="CT1" s="24" t="s">
        <v>94</v>
      </c>
      <c r="CU1" s="24" t="s">
        <v>67</v>
      </c>
      <c r="CV1" s="24" t="s">
        <v>95</v>
      </c>
      <c r="CW1" s="24" t="s">
        <v>96</v>
      </c>
      <c r="CX1" s="24" t="s">
        <v>97</v>
      </c>
      <c r="CY1" s="24" t="s">
        <v>98</v>
      </c>
      <c r="CZ1" s="24" t="s">
        <v>99</v>
      </c>
      <c r="DA1" s="24" t="s">
        <v>100</v>
      </c>
      <c r="DB1" s="24" t="s">
        <v>101</v>
      </c>
      <c r="DC1" s="24" t="s">
        <v>102</v>
      </c>
      <c r="DD1" s="24" t="s">
        <v>103</v>
      </c>
      <c r="DE1" s="24" t="s">
        <v>69</v>
      </c>
      <c r="DF1" s="24" t="s">
        <v>104</v>
      </c>
      <c r="DG1" s="24" t="s">
        <v>105</v>
      </c>
      <c r="DH1" s="24" t="s">
        <v>106</v>
      </c>
      <c r="DI1" s="24" t="s">
        <v>107</v>
      </c>
      <c r="DJ1" s="24" t="s">
        <v>108</v>
      </c>
      <c r="DK1" s="24" t="s">
        <v>109</v>
      </c>
      <c r="DL1" s="24" t="s">
        <v>72</v>
      </c>
      <c r="DM1" s="24" t="s">
        <v>110</v>
      </c>
      <c r="DN1" s="24" t="s">
        <v>111</v>
      </c>
      <c r="DO1" s="24" t="s">
        <v>112</v>
      </c>
      <c r="DP1" s="24" t="s">
        <v>113</v>
      </c>
      <c r="DQ1" s="24" t="s">
        <v>114</v>
      </c>
      <c r="DR1" s="24" t="s">
        <v>115</v>
      </c>
      <c r="DS1" s="24" t="s">
        <v>116</v>
      </c>
      <c r="DT1" s="24" t="s">
        <v>117</v>
      </c>
      <c r="DU1" s="24" t="s">
        <v>118</v>
      </c>
      <c r="DV1" s="24" t="s">
        <v>74</v>
      </c>
      <c r="DW1" s="24" t="s">
        <v>119</v>
      </c>
      <c r="DX1" s="24" t="s">
        <v>120</v>
      </c>
      <c r="DY1" s="24" t="s">
        <v>121</v>
      </c>
      <c r="DZ1" s="24" t="s">
        <v>122</v>
      </c>
      <c r="EA1" s="24" t="s">
        <v>123</v>
      </c>
      <c r="EB1" s="24" t="s">
        <v>124</v>
      </c>
      <c r="EC1" s="24" t="s">
        <v>125</v>
      </c>
      <c r="ED1" s="24" t="s">
        <v>126</v>
      </c>
      <c r="EE1" s="24" t="s">
        <v>127</v>
      </c>
      <c r="EF1" s="24" t="s">
        <v>128</v>
      </c>
      <c r="EG1" s="24" t="s">
        <v>129</v>
      </c>
      <c r="EH1" s="24" t="s">
        <v>130</v>
      </c>
      <c r="EI1" s="24" t="s">
        <v>131</v>
      </c>
      <c r="EJ1" s="24" t="s">
        <v>132</v>
      </c>
      <c r="EK1" s="24" t="s">
        <v>133</v>
      </c>
      <c r="EL1" s="24" t="s">
        <v>134</v>
      </c>
      <c r="EM1" s="24" t="s">
        <v>135</v>
      </c>
      <c r="EN1" s="24" t="s">
        <v>136</v>
      </c>
      <c r="EO1" s="27" t="s">
        <v>137</v>
      </c>
    </row>
    <row r="2" ht="14.25">
      <c r="A2" s="28" t="s">
        <v>138</v>
      </c>
      <c r="B2" s="28">
        <v>1</v>
      </c>
      <c r="C2" s="29">
        <v>6</v>
      </c>
      <c r="D2" s="30">
        <v>1.9160000000000001</v>
      </c>
      <c r="E2" s="30">
        <v>2.8119999999999998</v>
      </c>
      <c r="F2" s="30">
        <v>4.7400000000000002</v>
      </c>
      <c r="G2" s="30">
        <v>0.012000000000000002</v>
      </c>
      <c r="H2" s="30">
        <v>10.139307712067952</v>
      </c>
      <c r="I2" s="30">
        <v>17.639276167725733</v>
      </c>
      <c r="J2" s="30">
        <v>0.7639999999999999</v>
      </c>
      <c r="K2" s="30">
        <v>41.558075727604681</v>
      </c>
      <c r="L2" s="30">
        <f>J2/F2</f>
        <v>0.1611814345991561</v>
      </c>
      <c r="M2" s="30">
        <v>-1.8439709156525845</v>
      </c>
      <c r="N2" s="31">
        <v>0.046627584127210887</v>
      </c>
      <c r="O2" s="30">
        <v>2.0210000000000004</v>
      </c>
      <c r="P2" s="30">
        <v>1.744</v>
      </c>
      <c r="Q2" s="30">
        <v>3.879</v>
      </c>
      <c r="R2" s="30">
        <v>0.114</v>
      </c>
      <c r="S2" s="30">
        <v>9.9501582086766724</v>
      </c>
      <c r="T2" s="30">
        <v>17.734692544983258</v>
      </c>
      <c r="U2" s="30">
        <v>0.69400000000000006</v>
      </c>
      <c r="V2" s="30">
        <v>37.850713372025801</v>
      </c>
      <c r="W2" s="30">
        <f>U2/Q2</f>
        <v>0.17891209074503739</v>
      </c>
      <c r="X2" s="30">
        <v>-1.8993161189489201</v>
      </c>
      <c r="Y2" s="31">
        <v>0.09846996281735608</v>
      </c>
      <c r="Z2" s="32">
        <f>F2-Q2</f>
        <v>0.86100000000000021</v>
      </c>
      <c r="AA2" s="33">
        <v>4.580571428571429</v>
      </c>
      <c r="AB2" s="34">
        <v>9.4114285714285728</v>
      </c>
      <c r="AC2" s="34">
        <v>0.65571428571428569</v>
      </c>
      <c r="AD2" s="34">
        <v>2.5448571428571429</v>
      </c>
      <c r="AE2" s="34">
        <v>2.0357142857142856</v>
      </c>
      <c r="AF2" s="34">
        <v>11.372140785110508</v>
      </c>
      <c r="AG2" s="30">
        <f>AF2/AA2</f>
        <v>2.4826904159111014</v>
      </c>
      <c r="AH2" s="34">
        <v>-3.0829682480477771</v>
      </c>
      <c r="AI2" s="35">
        <f>(AE2/AA2)*100</f>
        <v>44.442365269461071</v>
      </c>
      <c r="AJ2" s="36">
        <v>4.8022499999999999</v>
      </c>
      <c r="AK2" s="34">
        <v>8.8102500000000017</v>
      </c>
      <c r="AL2" s="34">
        <v>0.072000000000000022</v>
      </c>
      <c r="AM2" s="34">
        <v>2.7375000000000003</v>
      </c>
      <c r="AN2" s="34">
        <v>2.0647500000000001</v>
      </c>
      <c r="AO2" s="34">
        <v>11.577218351403381</v>
      </c>
      <c r="AP2" s="30">
        <f>AN2/AJ2</f>
        <v>0.42995470873028269</v>
      </c>
      <c r="AQ2" s="34">
        <v>-3.0352954448406093</v>
      </c>
      <c r="AR2" s="37">
        <f>(AN2/AJ2)*100</f>
        <v>42.995470873028268</v>
      </c>
      <c r="AS2" s="38">
        <f>AJ2-AA2</f>
        <v>0.22167857142857095</v>
      </c>
      <c r="AT2" s="33">
        <f>AN2-AE2</f>
        <v>0.029035714285714498</v>
      </c>
      <c r="AU2" s="30">
        <v>7.7040495500517103</v>
      </c>
      <c r="AV2" s="30">
        <v>-0.25948180755843475</v>
      </c>
      <c r="AW2" s="30">
        <v>0.17863552606697453</v>
      </c>
      <c r="AX2" s="31">
        <v>0.17989399484679897</v>
      </c>
      <c r="AY2" s="30">
        <v>4.9359999999999999</v>
      </c>
      <c r="AZ2" s="30">
        <v>2.9100000000000001</v>
      </c>
      <c r="BA2" s="30">
        <v>8.2691902644422068</v>
      </c>
      <c r="BB2" s="30">
        <v>1.9204623324043577</v>
      </c>
      <c r="BC2" s="39">
        <v>-3.3280599573914</v>
      </c>
      <c r="BD2" s="30">
        <v>2.0660000000000003</v>
      </c>
      <c r="BE2" s="30">
        <v>1.0660000000000001</v>
      </c>
      <c r="BF2" s="30">
        <v>18.770230523552147</v>
      </c>
      <c r="BG2" s="30">
        <v>9.1538298779377723</v>
      </c>
      <c r="BH2" s="39">
        <v>-2.0975708593906943</v>
      </c>
      <c r="BI2" s="30">
        <v>3.2805000000000004</v>
      </c>
      <c r="BJ2" s="30">
        <v>1.8105000000000002</v>
      </c>
      <c r="BK2" s="30">
        <v>30.505278168477183</v>
      </c>
      <c r="BL2" s="30">
        <v>10.571486540603674</v>
      </c>
      <c r="BM2" s="39">
        <v>-2.1440549753095324</v>
      </c>
      <c r="BN2" s="30">
        <v>4.0979999999999999</v>
      </c>
      <c r="BO2" s="30">
        <v>1.9640000000000004</v>
      </c>
      <c r="BP2" s="30">
        <v>37.418190562808235</v>
      </c>
      <c r="BQ2" s="30">
        <v>9.6437659025032634</v>
      </c>
      <c r="BR2" s="39">
        <v>-2.260531853242608</v>
      </c>
      <c r="BS2" s="30">
        <v>2.8230000000000004</v>
      </c>
      <c r="BT2" s="30">
        <v>1.4265000000000001</v>
      </c>
      <c r="BU2" s="30">
        <v>46.212346495924095</v>
      </c>
      <c r="BV2" s="30">
        <v>16.597596669787187</v>
      </c>
      <c r="BW2" s="39">
        <v>-2.2103435430788498</v>
      </c>
      <c r="BX2" s="40">
        <v>0.57317474858367423</v>
      </c>
      <c r="BY2" s="41">
        <v>1.3715839989461738</v>
      </c>
      <c r="BZ2" s="41">
        <v>0.36855728983288483</v>
      </c>
      <c r="CA2" s="30">
        <v>2.7432499999999997</v>
      </c>
      <c r="CB2" s="30">
        <v>2.54</v>
      </c>
      <c r="CC2" s="30">
        <v>0.20324999999999999</v>
      </c>
      <c r="CD2" s="30">
        <v>9.0766045572592802</v>
      </c>
      <c r="CE2" s="30">
        <v>3.6565871216641042</v>
      </c>
      <c r="CF2" s="30">
        <v>0.041750000000000002</v>
      </c>
      <c r="CG2" s="30">
        <v>3.1131204575955276</v>
      </c>
      <c r="CH2" s="30">
        <v>1.3739999999999999</v>
      </c>
      <c r="CI2" s="30">
        <v>1.1360000000000001</v>
      </c>
      <c r="CJ2" s="30">
        <v>1.1660000000000001</v>
      </c>
      <c r="CK2" s="30">
        <v>51.733229134023098</v>
      </c>
      <c r="CL2" s="30">
        <v>43.16379285788679</v>
      </c>
      <c r="CM2" s="30">
        <v>48.266770865976902</v>
      </c>
      <c r="CN2" s="30">
        <v>-1.9213573444463539</v>
      </c>
      <c r="CO2" s="30">
        <v>-1.9665927573140425</v>
      </c>
      <c r="CP2" s="30">
        <v>0.24105956004553386</v>
      </c>
      <c r="CQ2" s="31">
        <v>4</v>
      </c>
      <c r="CR2" s="30">
        <v>5.7510000000000003</v>
      </c>
      <c r="CS2" s="30">
        <v>4.5360000000000005</v>
      </c>
      <c r="CT2" s="30">
        <v>1.2150000000000001</v>
      </c>
      <c r="CU2" s="30">
        <v>16.249531051880322</v>
      </c>
      <c r="CV2" s="30">
        <v>3.5823481154938976</v>
      </c>
      <c r="CW2" s="30">
        <v>0.056250000000000001</v>
      </c>
      <c r="CX2" s="30">
        <v>4.0019739863706247</v>
      </c>
      <c r="CY2" s="30">
        <v>3.3420000000000001</v>
      </c>
      <c r="CZ2" s="30">
        <v>4.3500000000000005</v>
      </c>
      <c r="DA2" s="30">
        <v>1.1940000000000004</v>
      </c>
      <c r="DB2" s="30">
        <v>73.67724867724867</v>
      </c>
      <c r="DC2" s="30">
        <v>95.899470899470899</v>
      </c>
      <c r="DD2" s="30">
        <v>26.322751322751326</v>
      </c>
      <c r="DE2" s="30">
        <v>-1.9209732657906624</v>
      </c>
      <c r="DF2" s="30">
        <v>-2.5821907896984317</v>
      </c>
      <c r="DG2" s="30">
        <v>0.18905544218778583</v>
      </c>
      <c r="DH2" s="30">
        <v>3</v>
      </c>
      <c r="DI2" s="30">
        <v>3.4540000000000002</v>
      </c>
      <c r="DJ2" s="30">
        <v>3.3930000000000002</v>
      </c>
      <c r="DK2" s="30">
        <v>0.061000000000000006</v>
      </c>
      <c r="DL2" s="30">
        <v>8.6576738125553767</v>
      </c>
      <c r="DM2" s="30">
        <v>2.5517308362859596</v>
      </c>
      <c r="DN2" s="30">
        <v>0.061000000000000013</v>
      </c>
      <c r="DO2" s="30">
        <v>5.1010913634428157</v>
      </c>
      <c r="DP2" s="30">
        <v>2.0009999999999999</v>
      </c>
      <c r="DQ2" s="30">
        <v>0.98100000000000021</v>
      </c>
      <c r="DR2" s="30">
        <v>1.3920000000000003</v>
      </c>
      <c r="DS2" s="30">
        <v>58.789620853377038</v>
      </c>
      <c r="DT2" s="30">
        <v>28.85386496850349</v>
      </c>
      <c r="DU2" s="30">
        <v>41.210379146622969</v>
      </c>
      <c r="DV2" s="30">
        <v>-2.1061558415279173</v>
      </c>
      <c r="DW2" s="30">
        <v>-2.2230980689330777</v>
      </c>
      <c r="DX2" s="30">
        <v>0.078874985143789711</v>
      </c>
      <c r="DY2" s="30">
        <v>3.5</v>
      </c>
      <c r="DZ2" s="30">
        <v>4.9633333333333338</v>
      </c>
      <c r="EA2" s="30">
        <v>4.7166666666666668</v>
      </c>
      <c r="EB2" s="30">
        <v>0.24666666666666662</v>
      </c>
      <c r="EC2" s="30">
        <v>18.386673834351893</v>
      </c>
      <c r="ED2" s="30">
        <v>3.9501228471550234</v>
      </c>
      <c r="EE2" s="30">
        <v>0.05874999999999999</v>
      </c>
      <c r="EF2" s="30">
        <v>3.0180000000000002</v>
      </c>
      <c r="EG2" s="30">
        <v>2.7093333333333334</v>
      </c>
      <c r="EH2" s="30">
        <v>1.6986666666666668</v>
      </c>
      <c r="EI2" s="30">
        <v>62.96899365604154</v>
      </c>
      <c r="EJ2" s="30">
        <v>55.182548648437965</v>
      </c>
      <c r="EK2" s="30">
        <v>37.03100634395846</v>
      </c>
      <c r="EL2" s="30">
        <v>-2.0482928031347662</v>
      </c>
      <c r="EM2" s="30">
        <v>-2.3498623513434307</v>
      </c>
      <c r="EN2" s="30">
        <v>0.32447397076105378</v>
      </c>
      <c r="EO2" s="30">
        <v>6.5</v>
      </c>
    </row>
    <row r="3" ht="14.25">
      <c r="A3" s="42" t="s">
        <v>139</v>
      </c>
      <c r="B3" s="43">
        <v>1</v>
      </c>
      <c r="C3" s="43">
        <v>6</v>
      </c>
      <c r="D3" s="30">
        <v>1.0330000000000001</v>
      </c>
      <c r="E3" s="30">
        <v>1.8259999999999998</v>
      </c>
      <c r="F3" s="30">
        <v>2.8710000000000004</v>
      </c>
      <c r="G3" s="30">
        <v>0.012000000000000002</v>
      </c>
      <c r="H3" s="30">
        <v>10.853873243057953</v>
      </c>
      <c r="I3" s="30">
        <v>18.369669233303615</v>
      </c>
      <c r="J3" s="30">
        <v>0.61799999999999999</v>
      </c>
      <c r="K3" s="30">
        <v>59.999800095586018</v>
      </c>
      <c r="L3" s="30">
        <f>J3/F3</f>
        <v>0.2152560083594566</v>
      </c>
      <c r="M3" s="30">
        <v>-1.7018936017294444</v>
      </c>
      <c r="N3" s="31">
        <v>0.48665284766703898</v>
      </c>
      <c r="O3" s="30">
        <v>1.07925</v>
      </c>
      <c r="P3" s="30">
        <v>1.3612499999999998</v>
      </c>
      <c r="Q3" s="30">
        <v>2.4405000000000001</v>
      </c>
      <c r="R3" s="30">
        <v>0</v>
      </c>
      <c r="S3" s="30">
        <v>11.215735232031776</v>
      </c>
      <c r="T3" s="30">
        <v>17.148249645419536</v>
      </c>
      <c r="U3" s="30">
        <v>0.58050000000000002</v>
      </c>
      <c r="V3" s="30">
        <v>53.3846780784327</v>
      </c>
      <c r="W3" s="30">
        <f>U3/Q3</f>
        <v>0.23786109403810693</v>
      </c>
      <c r="X3" s="30">
        <v>-1.6686843694863787</v>
      </c>
      <c r="Y3" s="31">
        <v>0.38647034699199784</v>
      </c>
      <c r="Z3" s="32">
        <f>F3-Q3</f>
        <v>0.43050000000000033</v>
      </c>
      <c r="AA3" s="30">
        <v>5.1610000000000005</v>
      </c>
      <c r="AB3" s="30">
        <v>11.030750000000001</v>
      </c>
      <c r="AC3" s="30">
        <v>0.87649999999999995</v>
      </c>
      <c r="AD3" s="30">
        <v>2.8860000000000001</v>
      </c>
      <c r="AE3" s="30">
        <v>2.2750000000000004</v>
      </c>
      <c r="AF3" s="30">
        <v>13.369803154261065</v>
      </c>
      <c r="AG3" s="30">
        <f>AF3/AA3</f>
        <v>2.5905450792987916</v>
      </c>
      <c r="AH3" s="30">
        <v>-3.0763445927944102</v>
      </c>
      <c r="AI3" s="44">
        <f>(AE3/AA3)*100</f>
        <v>44.08060453400504</v>
      </c>
      <c r="AJ3" s="30">
        <v>3.7043999999999997</v>
      </c>
      <c r="AK3" s="30">
        <v>8.8680000000000003</v>
      </c>
      <c r="AL3" s="30">
        <v>0.2772</v>
      </c>
      <c r="AM3" s="30">
        <v>1.6644000000000001</v>
      </c>
      <c r="AN3" s="30">
        <v>2.04</v>
      </c>
      <c r="AO3" s="30">
        <v>13.543347814920574</v>
      </c>
      <c r="AP3" s="30">
        <f>AN3/AJ3</f>
        <v>0.55069646906381609</v>
      </c>
      <c r="AQ3" s="30">
        <v>-2.6001980081955134</v>
      </c>
      <c r="AR3" s="45">
        <f>(AN3/AJ3)*100</f>
        <v>55.069646906381607</v>
      </c>
      <c r="AS3" s="46">
        <f>AJ3-AA3</f>
        <v>-1.4566000000000008</v>
      </c>
      <c r="AT3" s="30">
        <f>AN3-AE3</f>
        <v>-0.23500000000000032</v>
      </c>
      <c r="AU3" s="30">
        <v>1.3378982612823416</v>
      </c>
      <c r="AV3" s="30">
        <v>0.42572127607718713</v>
      </c>
      <c r="AW3" s="30">
        <v>0.34493560650664656</v>
      </c>
      <c r="AX3" s="31">
        <v>0.34527797513312108</v>
      </c>
      <c r="AY3" s="30">
        <v>3.54</v>
      </c>
      <c r="AZ3" s="30">
        <v>1.6640000000000001</v>
      </c>
      <c r="BA3" s="30">
        <v>14.491183579530997</v>
      </c>
      <c r="BB3" s="30">
        <v>4.0975592914885688</v>
      </c>
      <c r="BC3" s="39">
        <v>-2.4238817550585194</v>
      </c>
      <c r="BD3" s="30">
        <v>4.9371999999999998</v>
      </c>
      <c r="BE3" s="30">
        <v>2.4332000000000003</v>
      </c>
      <c r="BF3" s="30">
        <v>22.237437768654736</v>
      </c>
      <c r="BG3" s="30">
        <v>4.5075248882450145</v>
      </c>
      <c r="BH3" s="39">
        <v>-2.6043813673836711</v>
      </c>
      <c r="BI3" s="30">
        <v>5.9939999999999998</v>
      </c>
      <c r="BJ3" s="30">
        <v>2.8334999999999999</v>
      </c>
      <c r="BK3" s="30">
        <v>32.288375718407352</v>
      </c>
      <c r="BL3" s="30">
        <v>5.5266887136961937</v>
      </c>
      <c r="BM3" s="39">
        <v>-2.691236136974573</v>
      </c>
      <c r="BN3" s="30">
        <v>7.0043999999999995</v>
      </c>
      <c r="BO3" s="30">
        <v>4.0080000000000009</v>
      </c>
      <c r="BP3" s="30">
        <v>41.577916089725967</v>
      </c>
      <c r="BQ3" s="30">
        <v>6.4622663118157195</v>
      </c>
      <c r="BR3" s="39">
        <v>-2.7298140285100421</v>
      </c>
      <c r="BS3" s="30">
        <v>6.7932000000000006</v>
      </c>
      <c r="BT3" s="30">
        <v>3.2772000000000006</v>
      </c>
      <c r="BU3" s="30">
        <v>49.668615415014635</v>
      </c>
      <c r="BV3" s="30">
        <v>7.6465714731968886</v>
      </c>
      <c r="BW3" s="39">
        <v>-2.5367078192868289</v>
      </c>
      <c r="BX3" s="30">
        <v>0.2834217052761322</v>
      </c>
      <c r="BY3" s="30">
        <v>0.4297012659508414</v>
      </c>
      <c r="BZ3" s="30">
        <v>0.62955702350093268</v>
      </c>
      <c r="CA3" s="30">
        <v>1.2830000000000001</v>
      </c>
      <c r="CB3" s="30">
        <v>0.85050000000000003</v>
      </c>
      <c r="CC3" s="30">
        <v>0.4325</v>
      </c>
      <c r="CD3" s="30">
        <v>8.3578386189217593</v>
      </c>
      <c r="CE3" s="30">
        <v>9.8471799580888426</v>
      </c>
      <c r="CF3" s="30">
        <v>0.05800000000000001</v>
      </c>
      <c r="CG3" s="30">
        <v>3.0398379341850723</v>
      </c>
      <c r="CH3" s="30">
        <v>0.36900000000000005</v>
      </c>
      <c r="CI3" s="30">
        <v>0.23250000000000001</v>
      </c>
      <c r="CJ3" s="30">
        <v>0.48150000000000004</v>
      </c>
      <c r="CK3" s="30">
        <v>43.21884638261939</v>
      </c>
      <c r="CL3" s="30">
        <v>27.686204646017842</v>
      </c>
      <c r="CM3" s="30">
        <v>56.78115361738061</v>
      </c>
      <c r="CN3" s="30">
        <v>-1.7284573321977681</v>
      </c>
      <c r="CO3" s="30">
        <v>-1.5654844392455156</v>
      </c>
      <c r="CP3" s="30">
        <v>0.12475033766828725</v>
      </c>
      <c r="CQ3" s="31">
        <v>1.25</v>
      </c>
      <c r="CR3" s="30">
        <v>1.6037500000000002</v>
      </c>
      <c r="CS3" s="30">
        <v>1.4139999999999999</v>
      </c>
      <c r="CT3" s="30">
        <v>0.34675</v>
      </c>
      <c r="CU3" s="30">
        <v>16.900528616621003</v>
      </c>
      <c r="CV3" s="30">
        <v>12.409318612403396</v>
      </c>
      <c r="CW3" s="30">
        <v>0.056749999999999988</v>
      </c>
      <c r="CX3" s="30">
        <v>4.0751346208900889</v>
      </c>
      <c r="CY3" s="30">
        <v>0.57899999999999996</v>
      </c>
      <c r="CZ3" s="30">
        <v>0.39600000000000002</v>
      </c>
      <c r="DA3" s="30">
        <v>0.73799999999999999</v>
      </c>
      <c r="DB3" s="30">
        <v>44.761065186262144</v>
      </c>
      <c r="DC3" s="30">
        <v>26.787557281022004</v>
      </c>
      <c r="DD3" s="30">
        <v>55.238934813737856</v>
      </c>
      <c r="DE3" s="30">
        <v>-1.7138080732311791</v>
      </c>
      <c r="DF3" s="30">
        <v>-1.7243843056633996</v>
      </c>
      <c r="DG3" s="30">
        <v>0.32057259807471361</v>
      </c>
      <c r="DH3" s="30">
        <v>1.25</v>
      </c>
      <c r="DI3" s="30">
        <v>1.8340000000000003</v>
      </c>
      <c r="DJ3" s="30">
        <v>1.494</v>
      </c>
      <c r="DK3" s="30">
        <v>0.313</v>
      </c>
      <c r="DL3" s="30">
        <v>8.9682486544144702</v>
      </c>
      <c r="DM3" s="30">
        <v>6.0028438115224034</v>
      </c>
      <c r="DN3" s="30">
        <v>0.051500000000000004</v>
      </c>
      <c r="DO3" s="30">
        <v>5.1573351366990394</v>
      </c>
      <c r="DP3" s="30">
        <v>0.55800000000000005</v>
      </c>
      <c r="DQ3" s="30">
        <v>0.30299999999999999</v>
      </c>
      <c r="DR3" s="30">
        <v>0.97199999999999998</v>
      </c>
      <c r="DS3" s="30">
        <v>36.655926029700197</v>
      </c>
      <c r="DT3" s="30">
        <v>19.769776781544785</v>
      </c>
      <c r="DU3" s="30">
        <v>63.344073970299803</v>
      </c>
      <c r="DV3" s="30">
        <v>-1.7377236222660166</v>
      </c>
      <c r="DW3" s="30">
        <v>-1.7569078943572582</v>
      </c>
      <c r="DX3" s="30">
        <v>0.22952165365537916</v>
      </c>
      <c r="DY3" s="30">
        <v>3.5</v>
      </c>
      <c r="DZ3" s="30">
        <v>2.2150000000000003</v>
      </c>
      <c r="EA3" s="30">
        <v>1.6680000000000001</v>
      </c>
      <c r="EB3" s="30">
        <v>0.54700000000000004</v>
      </c>
      <c r="EC3" s="30">
        <v>17.289256078965593</v>
      </c>
      <c r="ED3" s="30">
        <v>10.365261438228773</v>
      </c>
      <c r="EE3" s="30">
        <v>0.042750000000000003</v>
      </c>
      <c r="EF3" s="30">
        <v>0.81000000000000005</v>
      </c>
      <c r="EG3" s="30">
        <v>0.34800000000000003</v>
      </c>
      <c r="EH3" s="30">
        <v>0.8580000000000001</v>
      </c>
      <c r="EI3" s="30">
        <v>48.561151079136685</v>
      </c>
      <c r="EJ3" s="30">
        <v>20.863309352517987</v>
      </c>
      <c r="EK3" s="30">
        <v>51.438848920863315</v>
      </c>
      <c r="EL3" s="30">
        <v>-1.6516608729263709</v>
      </c>
      <c r="EM3" s="30">
        <v>-1.9239845228163119</v>
      </c>
      <c r="EN3" s="30">
        <v>0.12824018335359788</v>
      </c>
      <c r="EO3" s="30">
        <v>1</v>
      </c>
    </row>
    <row r="4" ht="14.25">
      <c r="A4" s="42" t="s">
        <v>138</v>
      </c>
      <c r="B4" s="47">
        <v>1</v>
      </c>
      <c r="C4" s="48">
        <v>6</v>
      </c>
      <c r="D4" s="30">
        <v>1.0980000000000001</v>
      </c>
      <c r="E4" s="30">
        <v>1.4026666666666667</v>
      </c>
      <c r="F4" s="30">
        <v>2.742666666666667</v>
      </c>
      <c r="G4" s="30">
        <v>0.24199999999999999</v>
      </c>
      <c r="H4" s="30">
        <v>11.004440273350236</v>
      </c>
      <c r="I4" s="30">
        <v>17.756759743251095</v>
      </c>
      <c r="J4" s="30">
        <v>0.55866666666666676</v>
      </c>
      <c r="K4" s="30">
        <v>51.855667145267262</v>
      </c>
      <c r="L4" s="30">
        <f>J4/F4</f>
        <v>0.20369470102090423</v>
      </c>
      <c r="M4" s="30">
        <v>-1.6703563674702255</v>
      </c>
      <c r="N4" s="31">
        <v>0.22840876491826215</v>
      </c>
      <c r="O4" s="30">
        <v>1.0049999999999999</v>
      </c>
      <c r="P4" s="30">
        <v>1.2937500000000002</v>
      </c>
      <c r="Q4" s="30">
        <v>2.3205</v>
      </c>
      <c r="R4" s="30">
        <v>0.021749999999999999</v>
      </c>
      <c r="S4" s="30">
        <v>11.019213805789432</v>
      </c>
      <c r="T4" s="30">
        <v>17.826467210801798</v>
      </c>
      <c r="U4" s="30">
        <v>0.49349999999999999</v>
      </c>
      <c r="V4" s="30">
        <v>48.691812784058286</v>
      </c>
      <c r="W4" s="30">
        <f>U4/Q4</f>
        <v>0.21266968325791855</v>
      </c>
      <c r="X4" s="30">
        <v>-1.6066422849611723</v>
      </c>
      <c r="Y4" s="31">
        <v>0.39668413292157284</v>
      </c>
      <c r="Z4" s="32">
        <f>F4-Q4</f>
        <v>0.42216666666666702</v>
      </c>
      <c r="AA4" s="30">
        <v>3.3786</v>
      </c>
      <c r="AB4" s="30">
        <v>7.6704000000000008</v>
      </c>
      <c r="AC4" s="30">
        <v>0.17700000000000002</v>
      </c>
      <c r="AD4" s="30">
        <v>1.6998000000000004</v>
      </c>
      <c r="AE4" s="30">
        <v>1.6788000000000003</v>
      </c>
      <c r="AF4" s="30">
        <v>12.012260751240463</v>
      </c>
      <c r="AG4" s="30">
        <f>AF4/AA4</f>
        <v>3.5553959483929622</v>
      </c>
      <c r="AH4" s="30">
        <v>-2.8559527498116144</v>
      </c>
      <c r="AI4" s="44">
        <f>(AE4/AA4)*100</f>
        <v>49.689220387142612</v>
      </c>
      <c r="AJ4" s="30">
        <v>3.8931428571428568</v>
      </c>
      <c r="AK4" s="30">
        <v>8.6811428571428575</v>
      </c>
      <c r="AL4" s="30">
        <v>0.068571428571428575</v>
      </c>
      <c r="AM4" s="30">
        <v>1.9148571428571433</v>
      </c>
      <c r="AN4" s="30">
        <v>1.9782857142857144</v>
      </c>
      <c r="AO4" s="30">
        <v>12.149104870609365</v>
      </c>
      <c r="AP4" s="30">
        <f>AN4/AJ4</f>
        <v>0.50814619110524006</v>
      </c>
      <c r="AQ4" s="30">
        <v>-2.8422159172728803</v>
      </c>
      <c r="AR4" s="45">
        <f>(AN4/AJ4)*100</f>
        <v>50.814619110524006</v>
      </c>
      <c r="AS4" s="46">
        <f>AJ4-AA4</f>
        <v>0.51454285714285675</v>
      </c>
      <c r="AT4" s="30">
        <f>AN4-AE4</f>
        <v>0.29948571428571413</v>
      </c>
      <c r="AU4" s="30">
        <v>1.3254866436440853</v>
      </c>
      <c r="AV4" s="30">
        <v>0.38485893086116035</v>
      </c>
      <c r="AW4" s="30">
        <v>0.33388019326407947</v>
      </c>
      <c r="AX4" s="31">
        <v>0.33494979443657519</v>
      </c>
      <c r="AY4" s="30">
        <v>3.8188000000000004</v>
      </c>
      <c r="AZ4" s="30">
        <v>1.9227999999999998</v>
      </c>
      <c r="BA4" s="30">
        <v>10.710710097180783</v>
      </c>
      <c r="BB4" s="30">
        <v>2.8502150574033736</v>
      </c>
      <c r="BC4" s="39">
        <v>-2.3386375431526765</v>
      </c>
      <c r="BD4" s="30">
        <v>4.0236000000000001</v>
      </c>
      <c r="BE4" s="30">
        <v>1.7964000000000002</v>
      </c>
      <c r="BF4" s="30">
        <v>22.012629919761004</v>
      </c>
      <c r="BG4" s="30">
        <v>5.6792439675861743</v>
      </c>
      <c r="BH4" s="39">
        <v>-2.5712855018603449</v>
      </c>
      <c r="BI4" s="30">
        <v>4.7495999999999992</v>
      </c>
      <c r="BJ4" s="30">
        <v>2.1252000000000004</v>
      </c>
      <c r="BK4" s="30">
        <v>31.436458992946779</v>
      </c>
      <c r="BL4" s="30">
        <v>6.7218111684289905</v>
      </c>
      <c r="BM4" s="39">
        <v>-2.4165227241398397</v>
      </c>
      <c r="BN4" s="30">
        <v>5.0255999999999998</v>
      </c>
      <c r="BO4" s="30">
        <v>2.2787999999999999</v>
      </c>
      <c r="BP4" s="30">
        <v>41.388983138669879</v>
      </c>
      <c r="BQ4" s="30">
        <v>8.2767953470292035</v>
      </c>
      <c r="BR4" s="39">
        <v>-2.499592636829175</v>
      </c>
      <c r="BS4" s="30">
        <v>6.4308000000000005</v>
      </c>
      <c r="BT4" s="30">
        <v>2.8284000000000002</v>
      </c>
      <c r="BU4" s="30">
        <v>46.430462402404835</v>
      </c>
      <c r="BV4" s="30">
        <v>7.8938872918411507</v>
      </c>
      <c r="BW4" s="39">
        <v>-2.5635845612087249</v>
      </c>
      <c r="BX4" s="49">
        <v>0.22603143038686485</v>
      </c>
      <c r="BY4" s="49">
        <v>0.7396339937394184</v>
      </c>
      <c r="BZ4" s="49">
        <v>0.22103405160134726</v>
      </c>
      <c r="CA4" s="30">
        <v>1.5020000000000002</v>
      </c>
      <c r="CB4" s="30">
        <v>0.88800000000000023</v>
      </c>
      <c r="CC4" s="30">
        <v>0.60050000000000003</v>
      </c>
      <c r="CD4" s="30">
        <v>9.151101388401532</v>
      </c>
      <c r="CE4" s="30">
        <v>11.941176141564993</v>
      </c>
      <c r="CF4" s="30">
        <v>0.064000000000000001</v>
      </c>
      <c r="CG4" s="30">
        <v>3.2108202879829006</v>
      </c>
      <c r="CH4" s="30">
        <v>0.35249999999999998</v>
      </c>
      <c r="CI4" s="30">
        <v>0.19350000000000001</v>
      </c>
      <c r="CJ4" s="30">
        <v>0.49200000000000005</v>
      </c>
      <c r="CK4" s="30">
        <v>39.808386411889593</v>
      </c>
      <c r="CL4" s="30">
        <v>21.365236137719116</v>
      </c>
      <c r="CM4" s="30">
        <v>60.1916135881104</v>
      </c>
      <c r="CN4" s="30">
        <v>-1.6470818738056558</v>
      </c>
      <c r="CO4" s="30">
        <v>-1.5120032604945908</v>
      </c>
      <c r="CP4" s="30">
        <v>0.14386837081691506</v>
      </c>
      <c r="CQ4" s="31">
        <v>1</v>
      </c>
      <c r="CR4" s="30">
        <v>1.48675</v>
      </c>
      <c r="CS4" s="30">
        <v>0.99450000000000005</v>
      </c>
      <c r="CT4" s="30">
        <v>0.49225000000000002</v>
      </c>
      <c r="CU4" s="30">
        <v>17.380332170994418</v>
      </c>
      <c r="CV4" s="30">
        <v>17.943771459941789</v>
      </c>
      <c r="CW4" s="30">
        <v>0.053750000000000006</v>
      </c>
      <c r="CX4" s="30">
        <v>4.1107999054153552</v>
      </c>
      <c r="CY4" s="30">
        <v>0.40200000000000002</v>
      </c>
      <c r="CZ4" s="30">
        <v>0.13200000000000001</v>
      </c>
      <c r="DA4" s="30">
        <v>0.59250000000000003</v>
      </c>
      <c r="DB4" s="30">
        <v>42.047427658793438</v>
      </c>
      <c r="DC4" s="30">
        <v>12.95069900172598</v>
      </c>
      <c r="DD4" s="30">
        <v>57.952572341206562</v>
      </c>
      <c r="DE4" s="30">
        <v>-1.6175847220998456</v>
      </c>
      <c r="DF4" s="30">
        <v>-1.6624488869589116</v>
      </c>
      <c r="DG4" s="30">
        <v>0.16896677827123185</v>
      </c>
      <c r="DH4" s="30">
        <v>0.75</v>
      </c>
      <c r="DI4" s="30">
        <v>2.1710000000000003</v>
      </c>
      <c r="DJ4" s="30">
        <v>1.3380000000000001</v>
      </c>
      <c r="DK4" s="30">
        <v>0.77300000000000002</v>
      </c>
      <c r="DL4" s="30">
        <v>9.7937220121454764</v>
      </c>
      <c r="DM4" s="30">
        <v>7.5903897288781401</v>
      </c>
      <c r="DN4" s="30">
        <v>0.050500000000000003</v>
      </c>
      <c r="DO4" s="30">
        <v>5.1655973797321018</v>
      </c>
      <c r="DP4" s="30">
        <v>0.30600000000000005</v>
      </c>
      <c r="DQ4" s="30">
        <v>0.14700000000000002</v>
      </c>
      <c r="DR4" s="30">
        <v>0.97400000000000009</v>
      </c>
      <c r="DS4" s="30">
        <v>21.364860804967151</v>
      </c>
      <c r="DT4" s="30">
        <v>10.28095114629598</v>
      </c>
      <c r="DU4" s="30">
        <v>78.635139195032849</v>
      </c>
      <c r="DV4" s="30">
        <v>-1.8808305734341217</v>
      </c>
      <c r="DW4" s="30">
        <v>-1.4957445854199527</v>
      </c>
      <c r="DX4" s="30">
        <v>0.20195550826490619</v>
      </c>
      <c r="DY4" s="30">
        <v>3</v>
      </c>
      <c r="DZ4" s="30">
        <v>1.9927500000000002</v>
      </c>
      <c r="EA4" s="30">
        <v>1.242</v>
      </c>
      <c r="EB4" s="30">
        <v>0.75075000000000003</v>
      </c>
      <c r="EC4" s="30">
        <v>17.38934824447697</v>
      </c>
      <c r="ED4" s="30">
        <v>14.466371355880449</v>
      </c>
      <c r="EE4" s="30">
        <v>0.069750000000000006</v>
      </c>
      <c r="EF4" s="30">
        <v>0.33150000000000002</v>
      </c>
      <c r="EG4" s="30">
        <v>0.10950000000000001</v>
      </c>
      <c r="EH4" s="30">
        <v>0.91050000000000009</v>
      </c>
      <c r="EI4" s="30">
        <v>27.377329075809723</v>
      </c>
      <c r="EJ4" s="30">
        <v>8.8897242473076528</v>
      </c>
      <c r="EK4" s="30">
        <v>72.62267092419026</v>
      </c>
      <c r="EL4" s="30">
        <v>-1.5835507392404478</v>
      </c>
      <c r="EM4" s="30">
        <v>-1.6747050016057294</v>
      </c>
      <c r="EN4" s="30">
        <v>0.36863897032989712</v>
      </c>
      <c r="EO4" s="30">
        <v>2.25</v>
      </c>
    </row>
    <row r="5" ht="14.25">
      <c r="A5" s="42" t="s">
        <v>139</v>
      </c>
      <c r="B5" s="43">
        <v>2</v>
      </c>
      <c r="C5" s="43">
        <v>6.0199999999999996</v>
      </c>
      <c r="D5" s="30">
        <v>0.71571428571428564</v>
      </c>
      <c r="E5" s="30">
        <v>0.78342857142857159</v>
      </c>
      <c r="F5" s="30">
        <v>1.5540000000000003</v>
      </c>
      <c r="G5" s="30">
        <v>0.054857142857142861</v>
      </c>
      <c r="H5" s="30">
        <v>10.458926429409535</v>
      </c>
      <c r="I5" s="30">
        <v>17.456381159526767</v>
      </c>
      <c r="J5" s="30">
        <v>0.38914285714285712</v>
      </c>
      <c r="K5" s="30">
        <v>54.235452960186073</v>
      </c>
      <c r="L5" s="30">
        <f>J5/F5</f>
        <v>0.25041367898510752</v>
      </c>
      <c r="M5" s="30">
        <v>-1.5648056150100356</v>
      </c>
      <c r="N5" s="31">
        <v>0.14959504076797403</v>
      </c>
      <c r="O5" s="30">
        <v>0.78975000000000006</v>
      </c>
      <c r="P5" s="30">
        <v>0.77849999999999997</v>
      </c>
      <c r="Q5" s="30">
        <v>1.62375</v>
      </c>
      <c r="R5" s="30">
        <v>0.055500000000000008</v>
      </c>
      <c r="S5" s="30">
        <v>10.405566815455012</v>
      </c>
      <c r="T5" s="30">
        <v>16.63664721880582</v>
      </c>
      <c r="U5" s="30">
        <v>0.47625000000000001</v>
      </c>
      <c r="V5" s="30">
        <v>60.515634093089275</v>
      </c>
      <c r="W5" s="30">
        <f>U5/Q5</f>
        <v>0.29330254041570436</v>
      </c>
      <c r="X5" s="30">
        <v>-1.5342327079690865</v>
      </c>
      <c r="Y5" s="31">
        <v>0.1734841236225593</v>
      </c>
      <c r="Z5" s="50">
        <f>F5-Q5</f>
        <v>-0.069749999999999757</v>
      </c>
      <c r="AA5" s="30">
        <v>1.4562000000000002</v>
      </c>
      <c r="AB5" s="30">
        <v>2.6214000000000004</v>
      </c>
      <c r="AC5" s="30">
        <v>0.0089999999999999993</v>
      </c>
      <c r="AD5" s="30">
        <v>0.7632000000000001</v>
      </c>
      <c r="AE5" s="30">
        <v>0.69300000000000006</v>
      </c>
      <c r="AF5" s="30">
        <v>12.563756267579624</v>
      </c>
      <c r="AG5" s="30">
        <f>AF5/AA5</f>
        <v>8.6277683474657483</v>
      </c>
      <c r="AH5" s="30">
        <v>-2.042861183569967</v>
      </c>
      <c r="AI5" s="44">
        <f>(AE5/AA5)*100</f>
        <v>47.589616810877629</v>
      </c>
      <c r="AJ5" s="30">
        <v>1.7988000000000004</v>
      </c>
      <c r="AK5" s="30">
        <v>3.2784</v>
      </c>
      <c r="AL5" s="30">
        <v>0.013800000000000002</v>
      </c>
      <c r="AM5" s="30">
        <v>1.0464</v>
      </c>
      <c r="AN5" s="30">
        <v>0.75239999999999996</v>
      </c>
      <c r="AO5" s="30">
        <v>12.287531515703694</v>
      </c>
      <c r="AP5" s="30">
        <f>AN5/AJ5</f>
        <v>0.41827885256837882</v>
      </c>
      <c r="AQ5" s="30">
        <v>-2.0987802907227766</v>
      </c>
      <c r="AR5" s="45">
        <f>(AN5/AJ5)*100</f>
        <v>41.827885256837881</v>
      </c>
      <c r="AS5" s="46">
        <f>AJ5-AA5</f>
        <v>0.34260000000000024</v>
      </c>
      <c r="AT5" s="30">
        <f>AN5-AE5</f>
        <v>0.059399999999999897</v>
      </c>
      <c r="AU5" s="30">
        <v>0.057953316676654328</v>
      </c>
      <c r="AV5" s="30">
        <v>1.2203211996336043</v>
      </c>
      <c r="AW5" s="30">
        <v>0.35585402972329716</v>
      </c>
      <c r="AX5" s="31">
        <v>0.35730879845073515</v>
      </c>
      <c r="AY5" s="30">
        <v>1.6352</v>
      </c>
      <c r="AZ5" s="30">
        <v>0.9151999999999999</v>
      </c>
      <c r="BA5" s="30">
        <v>9.6130352019083656</v>
      </c>
      <c r="BB5" s="30">
        <v>6.1955642900565362</v>
      </c>
      <c r="BC5" s="39">
        <v>-2.1340943054182646</v>
      </c>
      <c r="BD5" s="30">
        <v>1.7063999999999999</v>
      </c>
      <c r="BE5" s="30">
        <v>0.8256</v>
      </c>
      <c r="BF5" s="30">
        <v>18.905900575612272</v>
      </c>
      <c r="BG5" s="30">
        <v>11.111852426846553</v>
      </c>
      <c r="BH5" s="39">
        <v>-2.3552656971329071</v>
      </c>
      <c r="BI5" s="30">
        <v>2.7048000000000001</v>
      </c>
      <c r="BJ5" s="30">
        <v>1.3932</v>
      </c>
      <c r="BK5" s="30">
        <v>27.562571893040428</v>
      </c>
      <c r="BL5" s="30">
        <v>10.195138504480436</v>
      </c>
      <c r="BM5" s="39">
        <v>-2.1551999114729647</v>
      </c>
      <c r="BN5" s="30">
        <v>6.2951999999999995</v>
      </c>
      <c r="BO5" s="30">
        <v>3.0312000000000001</v>
      </c>
      <c r="BP5" s="30">
        <v>37.716338000894659</v>
      </c>
      <c r="BQ5" s="30">
        <v>7.8188852265450066</v>
      </c>
      <c r="BR5" s="39">
        <v>-2.6259439471697705</v>
      </c>
      <c r="BS5" s="30">
        <v>5.1096000000000004</v>
      </c>
      <c r="BT5" s="30">
        <v>2.6328000000000005</v>
      </c>
      <c r="BU5" s="30">
        <v>44.763520312088033</v>
      </c>
      <c r="BV5" s="30">
        <v>10.408058977723062</v>
      </c>
      <c r="BW5" s="39">
        <v>-2.6558358113043399</v>
      </c>
      <c r="BX5" s="30">
        <v>0.34813845565380958</v>
      </c>
      <c r="BY5" s="30">
        <v>0.093339705723370067</v>
      </c>
      <c r="BZ5" s="30">
        <v>0.2280429788002839</v>
      </c>
      <c r="CA5" s="30">
        <v>0.95300000000000018</v>
      </c>
      <c r="CB5" s="30">
        <v>0.63400000000000001</v>
      </c>
      <c r="CC5" s="30">
        <v>0.31900000000000001</v>
      </c>
      <c r="CD5" s="30">
        <v>9.6365501031237972</v>
      </c>
      <c r="CE5" s="30">
        <v>17.16244525791436</v>
      </c>
      <c r="CF5" s="30">
        <v>0.0389375</v>
      </c>
      <c r="CG5" s="30">
        <v>3.2064644188874887</v>
      </c>
      <c r="CH5" s="30">
        <v>0.20799999999999999</v>
      </c>
      <c r="CI5" s="30">
        <v>0.090000000000000011</v>
      </c>
      <c r="CJ5" s="30">
        <v>0.42599999999999999</v>
      </c>
      <c r="CK5" s="30">
        <v>37.521090982861558</v>
      </c>
      <c r="CL5" s="30">
        <v>15.23133097886673</v>
      </c>
      <c r="CM5" s="30">
        <v>62.478909017138442</v>
      </c>
      <c r="CN5" s="30">
        <v>-1.6206060637660054</v>
      </c>
      <c r="CO5" s="30">
        <v>-1.4223893674789168</v>
      </c>
      <c r="CP5" s="30">
        <v>0.12441699041720311</v>
      </c>
      <c r="CQ5" s="31">
        <v>0.44444444444444442</v>
      </c>
      <c r="CR5" s="30">
        <v>1.3920000000000001</v>
      </c>
      <c r="CS5" s="30">
        <v>1.1339999999999999</v>
      </c>
      <c r="CT5" s="30">
        <v>0.25800000000000001</v>
      </c>
      <c r="CU5" s="30">
        <v>16.999671851582423</v>
      </c>
      <c r="CV5" s="30">
        <v>15.071715616801706</v>
      </c>
      <c r="CW5" s="30">
        <v>0.040250000000000001</v>
      </c>
      <c r="CX5" s="30">
        <v>4.0823202212180085</v>
      </c>
      <c r="CY5" s="30">
        <v>0.47100000000000003</v>
      </c>
      <c r="CZ5" s="30">
        <v>0.20099999999999998</v>
      </c>
      <c r="DA5" s="30">
        <v>0.66300000000000003</v>
      </c>
      <c r="DB5" s="30">
        <v>41.901477832512313</v>
      </c>
      <c r="DC5" s="30">
        <v>17.645320197044335</v>
      </c>
      <c r="DD5" s="30">
        <v>58.098522167487687</v>
      </c>
      <c r="DE5" s="30">
        <v>-1.6468701583710512</v>
      </c>
      <c r="DF5" s="30">
        <v>-1.6434369481275946</v>
      </c>
      <c r="DG5" s="30">
        <v>0.16026405598046312</v>
      </c>
      <c r="DH5" s="30">
        <v>1.5</v>
      </c>
      <c r="DI5" s="30">
        <v>2.635333333333334</v>
      </c>
      <c r="DJ5" s="30">
        <v>0.83400000000000007</v>
      </c>
      <c r="DK5" s="30">
        <v>1.6713333333333338</v>
      </c>
      <c r="DL5" s="30">
        <v>8.6819511505263822</v>
      </c>
      <c r="DM5" s="30">
        <v>10.957545548074426</v>
      </c>
      <c r="DN5" s="30">
        <v>0.047750000000000001</v>
      </c>
      <c r="DO5" s="30">
        <v>5.16165604422158</v>
      </c>
      <c r="DP5" s="30">
        <v>0.39800000000000008</v>
      </c>
      <c r="DQ5" s="30">
        <v>0.26200000000000001</v>
      </c>
      <c r="DR5" s="30">
        <v>0.53400000000000003</v>
      </c>
      <c r="DS5" s="30">
        <v>40.668028013924463</v>
      </c>
      <c r="DT5" s="30">
        <v>26.151433222585037</v>
      </c>
      <c r="DU5" s="30">
        <v>59.331971986075537</v>
      </c>
      <c r="DV5" s="30">
        <v>-1.5728324862954322</v>
      </c>
      <c r="DW5" s="30">
        <v>-1.5299549856700103</v>
      </c>
      <c r="DX5" s="30">
        <v>0.10283964644236576</v>
      </c>
      <c r="DY5" s="30">
        <v>1.3333333333333333</v>
      </c>
      <c r="DZ5" s="30">
        <v>1.6025</v>
      </c>
      <c r="EA5" s="30">
        <v>1.2000000000000002</v>
      </c>
      <c r="EB5" s="30">
        <v>0.47449999999999998</v>
      </c>
      <c r="EC5" s="30">
        <v>16.869151466181524</v>
      </c>
      <c r="ED5" s="30">
        <v>14.057626221817934</v>
      </c>
      <c r="EE5" s="30">
        <v>0.057250000000000002</v>
      </c>
      <c r="EF5" s="30">
        <v>0.56400000000000006</v>
      </c>
      <c r="EG5" s="30">
        <v>0.27900000000000003</v>
      </c>
      <c r="EH5" s="30">
        <v>0.48000000000000009</v>
      </c>
      <c r="EI5" s="30">
        <v>49.31818181818182</v>
      </c>
      <c r="EJ5" s="30">
        <v>24.10227272727273</v>
      </c>
      <c r="EK5" s="30">
        <v>50.68181818181818</v>
      </c>
      <c r="EL5" s="30">
        <v>-1.6773264930989917</v>
      </c>
      <c r="EM5" s="30">
        <v>-1.6615381607799626</v>
      </c>
      <c r="EN5" s="30">
        <v>0.11070633267036745</v>
      </c>
      <c r="EO5" s="30">
        <v>0.5</v>
      </c>
    </row>
    <row r="6" ht="14.25">
      <c r="A6" s="42" t="s">
        <v>138</v>
      </c>
      <c r="B6" s="51">
        <v>2</v>
      </c>
      <c r="C6" s="48">
        <v>6.0199999999999996</v>
      </c>
      <c r="D6" s="30">
        <v>0.89066666666666672</v>
      </c>
      <c r="E6" s="30">
        <v>1.6446666666666667</v>
      </c>
      <c r="F6" s="30">
        <v>2.615333333333334</v>
      </c>
      <c r="G6" s="30">
        <v>0.080000000000000016</v>
      </c>
      <c r="H6" s="30">
        <v>10.683455464096092</v>
      </c>
      <c r="I6" s="30">
        <v>17.711640162200148</v>
      </c>
      <c r="J6" s="30">
        <v>0.4933333333333334</v>
      </c>
      <c r="K6" s="30">
        <v>54.375158079075661</v>
      </c>
      <c r="L6" s="30">
        <f>J6/F6</f>
        <v>0.18863114963038488</v>
      </c>
      <c r="M6" s="30">
        <v>-1.5243378637986376</v>
      </c>
      <c r="N6" s="31">
        <v>0.19165126134133134</v>
      </c>
      <c r="O6" s="30">
        <v>0.84420000000000006</v>
      </c>
      <c r="P6" s="30">
        <v>1.0704</v>
      </c>
      <c r="Q6" s="30">
        <v>1.9956</v>
      </c>
      <c r="R6" s="30">
        <v>0.081000000000000003</v>
      </c>
      <c r="S6" s="30">
        <v>10.450685565551415</v>
      </c>
      <c r="T6" s="30">
        <v>16.832510314790888</v>
      </c>
      <c r="U6" s="30">
        <v>0.40920000000000006</v>
      </c>
      <c r="V6" s="30">
        <v>48.91487836310187</v>
      </c>
      <c r="W6" s="30">
        <f>U6/Q6</f>
        <v>0.20505111244738428</v>
      </c>
      <c r="X6" s="30">
        <v>-1.4766406671562344</v>
      </c>
      <c r="Y6" s="31">
        <v>0.18447773997405137</v>
      </c>
      <c r="Z6" s="32">
        <f>F6-Q6</f>
        <v>0.61973333333333391</v>
      </c>
      <c r="AA6" s="30">
        <v>5.1914000000000007</v>
      </c>
      <c r="AB6" s="30">
        <v>9.8868000000000009</v>
      </c>
      <c r="AC6" s="30">
        <v>0.52799999999999991</v>
      </c>
      <c r="AD6" s="30">
        <v>3.0990000000000002</v>
      </c>
      <c r="AE6" s="30">
        <v>2.0924</v>
      </c>
      <c r="AF6" s="30">
        <v>11.375707690498047</v>
      </c>
      <c r="AG6" s="30">
        <f>AF6/AA6</f>
        <v>2.1912601014173529</v>
      </c>
      <c r="AH6" s="30">
        <v>-2.4397949862401505</v>
      </c>
      <c r="AI6" s="44">
        <f>(AE6/AA6)*100</f>
        <v>40.305120006164039</v>
      </c>
      <c r="AJ6" s="30">
        <v>3.911</v>
      </c>
      <c r="AK6" s="30">
        <v>7.7090000000000005</v>
      </c>
      <c r="AL6" s="30">
        <v>0.026000000000000006</v>
      </c>
      <c r="AM6" s="30">
        <v>2.173</v>
      </c>
      <c r="AN6" s="30">
        <v>1.7379999999999998</v>
      </c>
      <c r="AO6" s="30">
        <v>11.837695843590204</v>
      </c>
      <c r="AP6" s="30">
        <f>AN6/AJ6</f>
        <v>0.44438762464842746</v>
      </c>
      <c r="AQ6" s="30">
        <v>-2.3947631223312409</v>
      </c>
      <c r="AR6" s="45">
        <f>(AN6/AJ6)*100</f>
        <v>44.438762464842746</v>
      </c>
      <c r="AS6" s="46">
        <f>AJ6-AA6</f>
        <v>-1.2804000000000006</v>
      </c>
      <c r="AT6" s="30">
        <f>AN6-AE6</f>
        <v>-0.35440000000000027</v>
      </c>
      <c r="AU6" s="30">
        <v>5.762766226176236</v>
      </c>
      <c r="AV6" s="30">
        <v>0.13605133983635093</v>
      </c>
      <c r="AW6" s="30">
        <v>0.072578315721823383</v>
      </c>
      <c r="AX6" s="31">
        <v>0.072595899302801095</v>
      </c>
      <c r="AY6" s="30">
        <v>7.9027999999999992</v>
      </c>
      <c r="AZ6" s="30">
        <v>3.9543999999999997</v>
      </c>
      <c r="BA6" s="30">
        <v>9.8543708956239051</v>
      </c>
      <c r="BB6" s="30">
        <v>1.4014245077304035</v>
      </c>
      <c r="BC6" s="39">
        <v>-2.2655845585652434</v>
      </c>
      <c r="BD6" s="30">
        <v>9.307500000000001</v>
      </c>
      <c r="BE6" s="30">
        <v>4.5495000000000001</v>
      </c>
      <c r="BF6" s="30">
        <v>18.316102295807436</v>
      </c>
      <c r="BG6" s="30">
        <v>2.0063956453469753</v>
      </c>
      <c r="BH6" s="39">
        <v>-3.2633693642265742</v>
      </c>
      <c r="BI6" s="30">
        <v>8.3864999999999998</v>
      </c>
      <c r="BJ6" s="30">
        <v>3.7575000000000003</v>
      </c>
      <c r="BK6" s="30">
        <v>28.478806825213145</v>
      </c>
      <c r="BL6" s="30">
        <v>3.4725665180707654</v>
      </c>
      <c r="BM6" s="39">
        <v>-2.6242163557594309</v>
      </c>
      <c r="BN6" s="30">
        <v>8.6208000000000009</v>
      </c>
      <c r="BO6" s="30">
        <v>4.5768000000000004</v>
      </c>
      <c r="BP6" s="30">
        <v>37.878277410170348</v>
      </c>
      <c r="BQ6" s="30">
        <v>4.7625303554468834</v>
      </c>
      <c r="BR6" s="39">
        <v>-2.6590581178413117</v>
      </c>
      <c r="BS6" s="30">
        <v>10.473600000000001</v>
      </c>
      <c r="BT6" s="30">
        <v>5.3171999999999997</v>
      </c>
      <c r="BU6" s="30">
        <v>46.596424254734664</v>
      </c>
      <c r="BV6" s="30">
        <v>4.8029671151371716</v>
      </c>
      <c r="BW6" s="39">
        <v>-2.9084839018737503</v>
      </c>
      <c r="BX6" s="49">
        <v>0.17419498630158514</v>
      </c>
      <c r="BY6" s="49">
        <v>1.1317538807758094</v>
      </c>
      <c r="BZ6" s="49">
        <v>0.18592649103029513</v>
      </c>
      <c r="CA6" s="30">
        <v>1.4397500000000001</v>
      </c>
      <c r="CB6" s="30">
        <v>0.85950000000000004</v>
      </c>
      <c r="CC6" s="30">
        <v>0.58024999999999993</v>
      </c>
      <c r="CD6" s="30">
        <v>7.7926847943156456</v>
      </c>
      <c r="CE6" s="30">
        <v>9.3463925753199657</v>
      </c>
      <c r="CF6" s="30">
        <v>0.05425</v>
      </c>
      <c r="CG6" s="30">
        <v>2.9581993808994831</v>
      </c>
      <c r="CH6" s="30">
        <v>0.318</v>
      </c>
      <c r="CI6" s="30">
        <v>0.16500000000000001</v>
      </c>
      <c r="CJ6" s="30">
        <v>0.54150000000000009</v>
      </c>
      <c r="CK6" s="30">
        <v>36.794949615655852</v>
      </c>
      <c r="CL6" s="30">
        <v>19.876628291096669</v>
      </c>
      <c r="CM6" s="30">
        <v>63.205050384344148</v>
      </c>
      <c r="CN6" s="30">
        <v>-1.5250576050548386</v>
      </c>
      <c r="CO6" s="30">
        <v>-1.5046237073945028</v>
      </c>
      <c r="CP6" s="30">
        <v>0.056441026157602062</v>
      </c>
      <c r="CQ6" s="31">
        <v>0.25</v>
      </c>
      <c r="CR6" s="30">
        <v>2.3109999999999999</v>
      </c>
      <c r="CS6" s="30">
        <v>1.7280000000000002</v>
      </c>
      <c r="CT6" s="30">
        <v>0.58300000000000007</v>
      </c>
      <c r="CU6" s="30">
        <v>16.647116228407814</v>
      </c>
      <c r="CV6" s="30">
        <v>11.177186510896384</v>
      </c>
      <c r="CW6" s="30">
        <v>0.032000000000000001</v>
      </c>
      <c r="CX6" s="30">
        <v>4.0469773039524588</v>
      </c>
      <c r="CY6" s="30">
        <v>0.44699999999999995</v>
      </c>
      <c r="CZ6" s="30">
        <v>0.19800000000000001</v>
      </c>
      <c r="DA6" s="30">
        <v>1.2810000000000001</v>
      </c>
      <c r="DB6" s="30">
        <v>31.83951788224266</v>
      </c>
      <c r="DC6" s="30">
        <v>14.046257729615004</v>
      </c>
      <c r="DD6" s="30">
        <v>68.16048211775734</v>
      </c>
      <c r="DE6" s="30">
        <v>-1.6796357606398515</v>
      </c>
      <c r="DF6" s="30">
        <v>-1.5905265773137907</v>
      </c>
      <c r="DG6" s="30">
        <v>0.15301834087687455</v>
      </c>
      <c r="DH6" s="30">
        <v>2.5</v>
      </c>
      <c r="DI6" s="30">
        <v>1.70675</v>
      </c>
      <c r="DJ6" s="30">
        <v>1.1475000000000002</v>
      </c>
      <c r="DK6" s="30">
        <v>0.55925000000000002</v>
      </c>
      <c r="DL6" s="30">
        <v>8.7185747115034928</v>
      </c>
      <c r="DM6" s="30">
        <v>7.6143698112868794</v>
      </c>
      <c r="DN6" s="30">
        <v>0.054250000000000007</v>
      </c>
      <c r="DO6" s="30">
        <v>5.1171215336564755</v>
      </c>
      <c r="DP6" s="30">
        <v>0.53549999999999998</v>
      </c>
      <c r="DQ6" s="30">
        <v>0.126</v>
      </c>
      <c r="DR6" s="30">
        <v>0.6120000000000001</v>
      </c>
      <c r="DS6" s="30">
        <v>46.338605294247472</v>
      </c>
      <c r="DT6" s="30">
        <v>10.924832634444201</v>
      </c>
      <c r="DU6" s="30">
        <v>53.661394705752528</v>
      </c>
      <c r="DV6" s="30">
        <v>-1.5880733682035328</v>
      </c>
      <c r="DW6" s="30">
        <v>-1.6871234435157576</v>
      </c>
      <c r="DX6" s="30">
        <v>0.069078213740631472</v>
      </c>
      <c r="DY6" s="30">
        <v>0.75</v>
      </c>
      <c r="DZ6" s="30">
        <v>2.2405000000000004</v>
      </c>
      <c r="EA6" s="30">
        <v>1.6125</v>
      </c>
      <c r="EB6" s="30">
        <v>0.62799999999999989</v>
      </c>
      <c r="EC6" s="30">
        <v>17.075273297956009</v>
      </c>
      <c r="ED6" s="30">
        <v>10.672793430274009</v>
      </c>
      <c r="EE6" s="30">
        <v>0.042499999999999996</v>
      </c>
      <c r="EF6" s="30">
        <v>0.45750000000000002</v>
      </c>
      <c r="EG6" s="30">
        <v>0.1905</v>
      </c>
      <c r="EH6" s="30">
        <v>1.155</v>
      </c>
      <c r="EI6" s="30">
        <v>28.883963721823356</v>
      </c>
      <c r="EJ6" s="30">
        <v>11.99190398418528</v>
      </c>
      <c r="EK6" s="30">
        <v>71.116036278176637</v>
      </c>
      <c r="EL6" s="30">
        <v>-1.51949488050874</v>
      </c>
      <c r="EM6" s="30">
        <v>-1.6277714642061567</v>
      </c>
      <c r="EN6" s="30">
        <v>0.13267405168513133</v>
      </c>
      <c r="EO6" s="30">
        <v>3</v>
      </c>
    </row>
    <row r="7" ht="14.25">
      <c r="A7" s="42" t="s">
        <v>139</v>
      </c>
      <c r="B7" s="43">
        <v>2</v>
      </c>
      <c r="C7" s="43">
        <v>6.0300000000000002</v>
      </c>
      <c r="D7" s="30">
        <v>1.2140000000000002</v>
      </c>
      <c r="E7" s="30">
        <v>1.1580000000000001</v>
      </c>
      <c r="F7" s="30">
        <v>2.3719999999999999</v>
      </c>
      <c r="G7" s="30">
        <v>0</v>
      </c>
      <c r="H7" s="30">
        <v>10.655260369053876</v>
      </c>
      <c r="I7" s="30">
        <v>17.872877539833741</v>
      </c>
      <c r="J7" s="30">
        <v>0.59600000000000009</v>
      </c>
      <c r="K7" s="30">
        <v>50.794503663107122</v>
      </c>
      <c r="L7" s="30">
        <f>J7/F7</f>
        <v>0.25126475548060712</v>
      </c>
      <c r="M7" s="30">
        <v>-1.6294189859425778</v>
      </c>
      <c r="N7" s="31">
        <v>0.15308256972605427</v>
      </c>
      <c r="O7" s="30">
        <v>1.5700000000000003</v>
      </c>
      <c r="P7" s="30">
        <v>1.2540000000000002</v>
      </c>
      <c r="Q7" s="30">
        <v>2.8680000000000003</v>
      </c>
      <c r="R7" s="30">
        <v>0.044000000000000004</v>
      </c>
      <c r="S7" s="30">
        <v>10.267977239754272</v>
      </c>
      <c r="T7" s="30">
        <v>16.634896589970811</v>
      </c>
      <c r="U7" s="30">
        <v>0.63</v>
      </c>
      <c r="V7" s="30">
        <v>40.041953718424303</v>
      </c>
      <c r="W7" s="30">
        <f>U7/Q7</f>
        <v>0.21966527196652719</v>
      </c>
      <c r="X7" s="30">
        <v>-1.6978467482571036</v>
      </c>
      <c r="Y7" s="31">
        <v>0.32239561949966533</v>
      </c>
      <c r="Z7" s="50">
        <f>F7-Q7</f>
        <v>-0.49600000000000044</v>
      </c>
      <c r="AA7" s="30">
        <v>2.1930000000000001</v>
      </c>
      <c r="AB7" s="30">
        <v>4.7242500000000005</v>
      </c>
      <c r="AC7" s="30">
        <v>0.00975</v>
      </c>
      <c r="AD7" s="30">
        <v>1.28775</v>
      </c>
      <c r="AE7" s="30">
        <v>0.90525</v>
      </c>
      <c r="AF7" s="30">
        <v>11.666553611424687</v>
      </c>
      <c r="AG7" s="30">
        <f>AF7/AA7</f>
        <v>5.3199058875625571</v>
      </c>
      <c r="AH7" s="30">
        <v>-2.3602350190051138</v>
      </c>
      <c r="AI7" s="44">
        <f>(AE7/AA7)*100</f>
        <v>41.279069767441861</v>
      </c>
      <c r="AJ7" s="30">
        <v>2.5117500000000001</v>
      </c>
      <c r="AK7" s="30">
        <v>5.4180000000000001</v>
      </c>
      <c r="AL7" s="30">
        <v>0.011250000000000001</v>
      </c>
      <c r="AM7" s="30">
        <v>1.4467499999999998</v>
      </c>
      <c r="AN7" s="30">
        <v>1.0650000000000002</v>
      </c>
      <c r="AO7" s="30">
        <v>11.573851793684852</v>
      </c>
      <c r="AP7" s="30">
        <f>AN7/AJ7</f>
        <v>0.42400716631830404</v>
      </c>
      <c r="AQ7" s="30">
        <v>-2.4977638437790963</v>
      </c>
      <c r="AR7" s="45">
        <f>(AN7/AJ7)*100</f>
        <v>42.400716631830406</v>
      </c>
      <c r="AS7" s="46">
        <f>AJ7-AA7</f>
        <v>0.31875000000000009</v>
      </c>
      <c r="AT7" s="30">
        <f>AN7-AE7</f>
        <v>0.15975000000000017</v>
      </c>
      <c r="AU7" s="30">
        <v>2.2042523706833856</v>
      </c>
      <c r="AV7" s="30">
        <v>0.41377564549471363</v>
      </c>
      <c r="AW7" s="30">
        <v>0.36239459797612228</v>
      </c>
      <c r="AX7" s="31">
        <v>0.3624133182097049</v>
      </c>
      <c r="AY7" s="30">
        <v>5.7072000000000003</v>
      </c>
      <c r="AZ7" s="30">
        <v>2.5584000000000002</v>
      </c>
      <c r="BA7" s="30">
        <v>9.7871097042305486</v>
      </c>
      <c r="BB7" s="30">
        <v>1.867372374788681</v>
      </c>
      <c r="BC7" s="39">
        <v>-2.9050730314845814</v>
      </c>
      <c r="BD7" s="30">
        <v>7.9320000000000013</v>
      </c>
      <c r="BE7" s="30">
        <v>3.7960000000000007</v>
      </c>
      <c r="BF7" s="30">
        <v>19.877816420084979</v>
      </c>
      <c r="BG7" s="30">
        <v>2.7435144735965302</v>
      </c>
      <c r="BH7" s="39">
        <v>-3.4394159055723921</v>
      </c>
      <c r="BI7" s="30">
        <v>8.6715</v>
      </c>
      <c r="BJ7" s="30">
        <v>3.6645000000000003</v>
      </c>
      <c r="BK7" s="30">
        <v>29.212229802608832</v>
      </c>
      <c r="BL7" s="30">
        <v>3.8991592394358374</v>
      </c>
      <c r="BM7" s="39">
        <v>-2.8515344949153296</v>
      </c>
      <c r="BN7" s="30">
        <v>10.4124</v>
      </c>
      <c r="BO7" s="30">
        <v>4.5468000000000011</v>
      </c>
      <c r="BP7" s="30">
        <v>39.210325773363152</v>
      </c>
      <c r="BQ7" s="30">
        <v>4.117299564801197</v>
      </c>
      <c r="BR7" s="39">
        <v>-2.9337043971431829</v>
      </c>
      <c r="BS7" s="30">
        <v>10.296000000000001</v>
      </c>
      <c r="BT7" s="30">
        <v>3.9359999999999999</v>
      </c>
      <c r="BU7" s="30">
        <v>46.667914447615303</v>
      </c>
      <c r="BV7" s="30">
        <v>4.5630413057460428</v>
      </c>
      <c r="BW7" s="39">
        <v>-2.8181740707631162</v>
      </c>
      <c r="BX7" s="30">
        <v>0.39155503389850022</v>
      </c>
      <c r="BY7" s="30">
        <v>0.55281037711680325</v>
      </c>
      <c r="BZ7" s="30">
        <v>0.13352869369542653</v>
      </c>
      <c r="CA7" s="30">
        <v>1.4390000000000001</v>
      </c>
      <c r="CB7" s="30">
        <v>1.4355</v>
      </c>
      <c r="CC7" s="30">
        <v>0.0034999999999999996</v>
      </c>
      <c r="CD7" s="30">
        <v>7.8573625773153255</v>
      </c>
      <c r="CE7" s="30">
        <v>6.3162668914243358</v>
      </c>
      <c r="CF7" s="30">
        <v>0.031000000000000007</v>
      </c>
      <c r="CG7" s="30">
        <v>2.9623371201644559</v>
      </c>
      <c r="CH7" s="30">
        <v>0.60150000000000003</v>
      </c>
      <c r="CI7" s="30">
        <v>0.40049999999999997</v>
      </c>
      <c r="CJ7" s="30">
        <v>0.83399999999999996</v>
      </c>
      <c r="CK7" s="30">
        <v>39.074971655328795</v>
      </c>
      <c r="CL7" s="30">
        <v>21.336818236066357</v>
      </c>
      <c r="CM7" s="30">
        <v>60.925028344671205</v>
      </c>
      <c r="CN7" s="30">
        <v>-1.8497787738319058</v>
      </c>
      <c r="CO7" s="30">
        <v>-1.8725078343336257</v>
      </c>
      <c r="CP7" s="30">
        <v>0.26435909278186887</v>
      </c>
      <c r="CQ7" s="31">
        <v>3</v>
      </c>
      <c r="CR7" s="30">
        <v>2.8365</v>
      </c>
      <c r="CS7" s="30">
        <v>2.673</v>
      </c>
      <c r="CT7" s="30">
        <v>0.16350000000000003</v>
      </c>
      <c r="CU7" s="30">
        <v>17.086335996737009</v>
      </c>
      <c r="CV7" s="30">
        <v>9.3685012764673221</v>
      </c>
      <c r="CW7" s="30">
        <v>0.030000000000000006</v>
      </c>
      <c r="CX7" s="30">
        <v>4.0671275677460885</v>
      </c>
      <c r="CY7" s="30">
        <v>1.0394999999999999</v>
      </c>
      <c r="CZ7" s="30">
        <v>0.78750000000000009</v>
      </c>
      <c r="DA7" s="30">
        <v>1.6335000000000002</v>
      </c>
      <c r="DB7" s="30">
        <v>52.983011871834243</v>
      </c>
      <c r="DC7" s="30">
        <v>35.347919684038644</v>
      </c>
      <c r="DD7" s="30">
        <v>47.016988128165757</v>
      </c>
      <c r="DE7" s="30">
        <v>-1.9639740087910158</v>
      </c>
      <c r="DF7" s="30">
        <v>-1.8057769790212692</v>
      </c>
      <c r="DG7" s="30">
        <v>0.15375135145747679</v>
      </c>
      <c r="DH7" s="30">
        <v>0.66666666666666663</v>
      </c>
      <c r="DI7" s="30">
        <v>1.8193333333333337</v>
      </c>
      <c r="DJ7" s="30">
        <v>1.718</v>
      </c>
      <c r="DK7" s="30">
        <v>0.10133333333333334</v>
      </c>
      <c r="DL7" s="30">
        <v>8.5063396614724187</v>
      </c>
      <c r="DM7" s="30">
        <v>6.0792010100100491</v>
      </c>
      <c r="DN7" s="30">
        <v>0.04725</v>
      </c>
      <c r="DO7" s="30">
        <v>5.0788433907135859</v>
      </c>
      <c r="DP7" s="30">
        <v>0.49200000000000005</v>
      </c>
      <c r="DQ7" s="30">
        <v>0.28999999999999998</v>
      </c>
      <c r="DR7" s="30">
        <v>1.2260000000000002</v>
      </c>
      <c r="DS7" s="30">
        <v>31.625833677567744</v>
      </c>
      <c r="DT7" s="30">
        <v>15.260018191091794</v>
      </c>
      <c r="DU7" s="30">
        <v>68.374166322432259</v>
      </c>
      <c r="DV7" s="30">
        <v>-1.7503496128289449</v>
      </c>
      <c r="DW7" s="30">
        <v>-1.8401508571919385</v>
      </c>
      <c r="DX7" s="30">
        <v>0.073166714677965289</v>
      </c>
      <c r="DY7" s="30">
        <v>3</v>
      </c>
      <c r="DZ7" s="30">
        <v>3.1985000000000006</v>
      </c>
      <c r="EA7" s="30">
        <v>2.6280000000000001</v>
      </c>
      <c r="EB7" s="30">
        <v>0.24350000000000002</v>
      </c>
      <c r="EC7" s="30">
        <v>17.185112067790065</v>
      </c>
      <c r="ED7" s="30">
        <v>6.5392359466476657</v>
      </c>
      <c r="EE7" s="30">
        <v>0.051250000000000004</v>
      </c>
      <c r="EF7" s="30">
        <v>1.2690000000000001</v>
      </c>
      <c r="EG7" s="30">
        <v>0.97800000000000009</v>
      </c>
      <c r="EH7" s="30">
        <v>1.296</v>
      </c>
      <c r="EI7" s="30">
        <v>43.715409080664152</v>
      </c>
      <c r="EJ7" s="30">
        <v>32.892573021795933</v>
      </c>
      <c r="EK7" s="30">
        <v>56.284590919335848</v>
      </c>
      <c r="EL7" s="30">
        <v>-2.0775346246453603</v>
      </c>
      <c r="EM7" s="30">
        <v>-2.9719110605086434</v>
      </c>
      <c r="EN7" s="30">
        <v>0.32211650279225257</v>
      </c>
      <c r="EO7" s="30">
        <v>5</v>
      </c>
    </row>
    <row r="8" ht="14.25">
      <c r="A8" s="42" t="s">
        <v>139</v>
      </c>
      <c r="B8" s="43">
        <v>1</v>
      </c>
      <c r="C8" s="43">
        <v>6.0300000000000002</v>
      </c>
      <c r="D8" s="30">
        <v>0.95657142857142852</v>
      </c>
      <c r="E8" s="30">
        <v>1.1588571428571428</v>
      </c>
      <c r="F8" s="30">
        <v>2.600571428571429</v>
      </c>
      <c r="G8" s="30">
        <v>0.48514285714285715</v>
      </c>
      <c r="H8" s="30">
        <v>10.456165360433449</v>
      </c>
      <c r="I8" s="30">
        <v>17.867938016785132</v>
      </c>
      <c r="J8" s="30">
        <v>0.3497142857142857</v>
      </c>
      <c r="K8" s="30">
        <v>42.642524941984739</v>
      </c>
      <c r="L8" s="30">
        <f>J8/F8</f>
        <v>0.13447593935398811</v>
      </c>
      <c r="M8" s="30">
        <v>-1.7236500526744141</v>
      </c>
      <c r="N8" s="31">
        <v>0.16574084267704509</v>
      </c>
      <c r="O8" s="30">
        <v>0.89000000000000001</v>
      </c>
      <c r="P8" s="30">
        <v>0.84066666666666678</v>
      </c>
      <c r="Q8" s="30">
        <v>1.8800000000000001</v>
      </c>
      <c r="R8" s="30">
        <v>0.14933333333333335</v>
      </c>
      <c r="S8" s="30">
        <v>10.273513976544034</v>
      </c>
      <c r="T8" s="30">
        <v>16.453709900400735</v>
      </c>
      <c r="U8" s="30">
        <v>0.46133333333333337</v>
      </c>
      <c r="V8" s="30">
        <v>52.195467247304677</v>
      </c>
      <c r="W8" s="30">
        <f>U8/Q8</f>
        <v>0.24539007092198581</v>
      </c>
      <c r="X8" s="30">
        <v>-1.5954860774307387</v>
      </c>
      <c r="Y8" s="31">
        <v>0.22478885627374762</v>
      </c>
      <c r="Z8" s="32">
        <f>F8-Q8</f>
        <v>0.72057142857142886</v>
      </c>
      <c r="AA8" s="30">
        <v>5.2305000000000001</v>
      </c>
      <c r="AB8" s="30">
        <v>12.107249999999999</v>
      </c>
      <c r="AC8" s="30">
        <v>0.6944999999999999</v>
      </c>
      <c r="AD8" s="30">
        <v>2.7187500000000004</v>
      </c>
      <c r="AE8" s="30">
        <v>2.5117500000000001</v>
      </c>
      <c r="AF8" s="30">
        <v>11.881663804841775</v>
      </c>
      <c r="AG8" s="30">
        <f>AF8/AA8</f>
        <v>2.2716114721043446</v>
      </c>
      <c r="AH8" s="30">
        <v>-3.1493295112251669</v>
      </c>
      <c r="AI8" s="44">
        <f>(AE8/AA8)*100</f>
        <v>48.021221680527674</v>
      </c>
      <c r="AJ8" s="30">
        <v>4.3905000000000003</v>
      </c>
      <c r="AK8" s="30">
        <v>10.069500000000001</v>
      </c>
      <c r="AL8" s="30">
        <v>0.63900000000000001</v>
      </c>
      <c r="AM8" s="30">
        <v>2.8140000000000001</v>
      </c>
      <c r="AN8" s="30">
        <v>1.5764999999999998</v>
      </c>
      <c r="AO8" s="30">
        <v>9.984749344843312</v>
      </c>
      <c r="AP8" s="30">
        <f>AN8/AJ8</f>
        <v>0.35907072087461556</v>
      </c>
      <c r="AQ8" s="30">
        <v>-2.70999466215244</v>
      </c>
      <c r="AR8" s="45">
        <f>(AN8/AJ8)*100</f>
        <v>35.907072087461557</v>
      </c>
      <c r="AS8" s="46">
        <f>AJ8-AA8</f>
        <v>-0.83999999999999986</v>
      </c>
      <c r="AT8" s="30">
        <f>AN8-AE8</f>
        <v>-0.93525000000000036</v>
      </c>
      <c r="AU8" s="30">
        <v>4.8957485211931155</v>
      </c>
      <c r="AV8" s="30">
        <v>0.12259883167355928</v>
      </c>
      <c r="AW8" s="30">
        <v>0.032455619457631424</v>
      </c>
      <c r="AX8" s="31">
        <v>0.032500792726609412</v>
      </c>
      <c r="AY8" s="30">
        <v>6.3287999999999993</v>
      </c>
      <c r="AZ8" s="30">
        <v>2.7371999999999996</v>
      </c>
      <c r="BA8" s="30">
        <v>9.5792810377719722</v>
      </c>
      <c r="BB8" s="30">
        <v>1.5268643351403732</v>
      </c>
      <c r="BC8" s="39">
        <v>-2.9323764894918098</v>
      </c>
      <c r="BD8" s="30">
        <v>9.128400000000001</v>
      </c>
      <c r="BE8" s="30">
        <v>3.6612000000000009</v>
      </c>
      <c r="BF8" s="30">
        <v>18.053250925736513</v>
      </c>
      <c r="BG8" s="30">
        <v>2.0228434726504836</v>
      </c>
      <c r="BH8" s="39">
        <v>-2.8057270462058423</v>
      </c>
      <c r="BI8" s="30">
        <v>4.0992000000000006</v>
      </c>
      <c r="BJ8" s="30">
        <v>1.7975999999999999</v>
      </c>
      <c r="BK8" s="30">
        <v>28.353583180592324</v>
      </c>
      <c r="BL8" s="30">
        <v>7.0246856121250918</v>
      </c>
      <c r="BM8" s="39">
        <v>-2.3805186647725618</v>
      </c>
      <c r="BN8" s="30">
        <v>6.6480000000000006</v>
      </c>
      <c r="BO8" s="30">
        <v>2.9664000000000006</v>
      </c>
      <c r="BP8" s="30">
        <v>36.13752688927093</v>
      </c>
      <c r="BQ8" s="30">
        <v>5.6642443307070121</v>
      </c>
      <c r="BR8" s="39">
        <v>-2.6343752057299734</v>
      </c>
      <c r="BS8" s="30">
        <v>9.9719999999999995</v>
      </c>
      <c r="BT8" s="30">
        <v>4.4904000000000002</v>
      </c>
      <c r="BU8" s="30">
        <v>42.960113227737459</v>
      </c>
      <c r="BV8" s="30">
        <v>4.4636627100161856</v>
      </c>
      <c r="BW8" s="39">
        <v>-3.0951327643917637</v>
      </c>
      <c r="BX8" s="30">
        <v>0.64359226811486958</v>
      </c>
      <c r="BY8" s="30">
        <v>-0.55804513775652786</v>
      </c>
      <c r="BZ8" s="30">
        <v>0.61648256565816251</v>
      </c>
      <c r="CA8" s="30">
        <v>1.3685</v>
      </c>
      <c r="CB8" s="30">
        <v>0.92849999999999999</v>
      </c>
      <c r="CC8" s="30">
        <v>0.44000000000000006</v>
      </c>
      <c r="CD8" s="30">
        <v>8.4125775701727115</v>
      </c>
      <c r="CE8" s="30">
        <v>9.9480834945433045</v>
      </c>
      <c r="CF8" s="30">
        <v>0.032500000000000001</v>
      </c>
      <c r="CG8" s="30">
        <v>3.0571977781841664</v>
      </c>
      <c r="CH8" s="30">
        <v>0.57750000000000012</v>
      </c>
      <c r="CI8" s="30">
        <v>0.123</v>
      </c>
      <c r="CJ8" s="30">
        <v>0.35099999999999998</v>
      </c>
      <c r="CK8" s="30">
        <v>56.892630162481126</v>
      </c>
      <c r="CL8" s="30">
        <v>16.555142266867623</v>
      </c>
      <c r="CM8" s="30">
        <v>43.107369837518874</v>
      </c>
      <c r="CN8" s="30">
        <v>-1.688819684085739</v>
      </c>
      <c r="CO8" s="30">
        <v>-1.7523155548622416</v>
      </c>
      <c r="CP8" s="30">
        <v>0.16174568708099107</v>
      </c>
      <c r="CQ8" s="31">
        <v>0.25</v>
      </c>
      <c r="CR8" s="30">
        <v>2.4250000000000003</v>
      </c>
      <c r="CS8" s="30">
        <v>1.8510000000000002</v>
      </c>
      <c r="CT8" s="30">
        <v>0.57400000000000007</v>
      </c>
      <c r="CU8" s="30">
        <v>17.417240721332757</v>
      </c>
      <c r="CV8" s="30">
        <v>10.621419802841109</v>
      </c>
      <c r="CW8" s="30">
        <v>0.062</v>
      </c>
      <c r="CX8" s="30">
        <v>4.1095152285681671</v>
      </c>
      <c r="CY8" s="30">
        <v>1.242</v>
      </c>
      <c r="CZ8" s="30">
        <v>0.89700000000000002</v>
      </c>
      <c r="DA8" s="30">
        <v>0.60899999999999999</v>
      </c>
      <c r="DB8" s="30">
        <v>63.715636522945502</v>
      </c>
      <c r="DC8" s="30">
        <v>43.350538631613915</v>
      </c>
      <c r="DD8" s="30">
        <v>36.284363477054505</v>
      </c>
      <c r="DE8" s="30">
        <v>-1.8280839362746435</v>
      </c>
      <c r="DF8" s="30">
        <v>-1.9836508842631875</v>
      </c>
      <c r="DG8" s="30">
        <v>0.27873848841366289</v>
      </c>
      <c r="DH8" s="30">
        <v>1.6666666666666667</v>
      </c>
      <c r="DI8" s="30">
        <v>2.1807500000000002</v>
      </c>
      <c r="DJ8" s="30">
        <v>1.143</v>
      </c>
      <c r="DK8" s="30">
        <v>0.80675000000000008</v>
      </c>
      <c r="DL8" s="30">
        <v>8.8375549888534035</v>
      </c>
      <c r="DM8" s="30">
        <v>8.0293590240666326</v>
      </c>
      <c r="DN8" s="30">
        <v>0.055750000000000001</v>
      </c>
      <c r="DO8" s="30">
        <v>5.1655077475156013</v>
      </c>
      <c r="DP8" s="30">
        <v>0.86550000000000016</v>
      </c>
      <c r="DQ8" s="30">
        <v>0.45300000000000001</v>
      </c>
      <c r="DR8" s="30">
        <v>0.32700000000000001</v>
      </c>
      <c r="DS8" s="30">
        <v>61.240989187024432</v>
      </c>
      <c r="DT8" s="30">
        <v>35.824060300932544</v>
      </c>
      <c r="DU8" s="30">
        <v>38.759010812975575</v>
      </c>
      <c r="DV8" s="30">
        <v>-1.8042718861596228</v>
      </c>
      <c r="DW8" s="30">
        <v>-1.8920539544867812</v>
      </c>
      <c r="DX8" s="30">
        <v>0.18496199876937566</v>
      </c>
      <c r="DY8" s="30">
        <v>0.75</v>
      </c>
      <c r="DZ8" s="30">
        <v>3.8580000000000001</v>
      </c>
      <c r="EA8" s="30"/>
      <c r="EB8" s="30">
        <v>2.2770000000000001</v>
      </c>
      <c r="EC8" s="30"/>
      <c r="ED8" s="30"/>
      <c r="EE8" s="30">
        <v>0.051000000000000004</v>
      </c>
      <c r="EF8" s="30">
        <v>0.71700000000000008</v>
      </c>
      <c r="EG8" s="30">
        <v>0.252</v>
      </c>
      <c r="EH8" s="30"/>
      <c r="EI8" s="30">
        <v>44.498988892470912</v>
      </c>
      <c r="EJ8" s="30">
        <v>15.105067260631282</v>
      </c>
      <c r="EK8" s="30">
        <v>55.501011107529081</v>
      </c>
      <c r="EL8" s="30">
        <v>-1.7346109568405153</v>
      </c>
      <c r="EM8" s="30">
        <v>-1.8447589843942696</v>
      </c>
      <c r="EN8" s="30">
        <v>0.14446932543963853</v>
      </c>
      <c r="EO8" s="30">
        <v>3</v>
      </c>
    </row>
    <row r="9" ht="14.25">
      <c r="A9" s="42" t="s">
        <v>139</v>
      </c>
      <c r="B9" s="43">
        <v>1</v>
      </c>
      <c r="C9" s="43">
        <v>6.0599999999999996</v>
      </c>
      <c r="D9" s="30">
        <v>1.3817142857142859</v>
      </c>
      <c r="E9" s="30">
        <v>2.1788571428571428</v>
      </c>
      <c r="F9" s="30">
        <v>3.5820000000000003</v>
      </c>
      <c r="G9" s="30">
        <v>0.021428571428571432</v>
      </c>
      <c r="H9" s="30">
        <v>11.081469571366403</v>
      </c>
      <c r="I9" s="30">
        <v>17.434185533428362</v>
      </c>
      <c r="J9" s="30">
        <v>0.43371428571428572</v>
      </c>
      <c r="K9" s="30">
        <v>32.410276830158608</v>
      </c>
      <c r="L9" s="30">
        <f>J9/F9</f>
        <v>0.12108159846853313</v>
      </c>
      <c r="M9" s="30">
        <v>-1.7017145086223622</v>
      </c>
      <c r="N9" s="31">
        <v>0.20321548968415598</v>
      </c>
      <c r="O9" s="30">
        <v>1.401</v>
      </c>
      <c r="P9" s="30">
        <v>1.9128000000000001</v>
      </c>
      <c r="Q9" s="30">
        <v>3.4134000000000002</v>
      </c>
      <c r="R9" s="30">
        <v>0.099600000000000008</v>
      </c>
      <c r="S9" s="30">
        <v>10.823352180789408</v>
      </c>
      <c r="T9" s="30">
        <v>17.033101655279161</v>
      </c>
      <c r="U9" s="30">
        <v>0.66840000000000011</v>
      </c>
      <c r="V9" s="30">
        <v>48.584973407743064</v>
      </c>
      <c r="W9" s="30">
        <f>U9/Q9</f>
        <v>0.19581648795921958</v>
      </c>
      <c r="X9" s="30">
        <v>-1.6807519331206884</v>
      </c>
      <c r="Y9" s="31">
        <v>0.17001495459030552</v>
      </c>
      <c r="Z9" s="32">
        <f>F9-Q9</f>
        <v>0.16860000000000008</v>
      </c>
      <c r="AA9" s="30">
        <v>4.8772500000000001</v>
      </c>
      <c r="AB9" s="30">
        <v>9.65625</v>
      </c>
      <c r="AC9" s="30">
        <v>0.016500000000000001</v>
      </c>
      <c r="AD9" s="30">
        <v>3.0487500000000001</v>
      </c>
      <c r="AE9" s="30">
        <v>1.8285000000000005</v>
      </c>
      <c r="AF9" s="30">
        <v>11.6530004433322</v>
      </c>
      <c r="AG9" s="30">
        <f>AF9/AA9</f>
        <v>2.3892563316074016</v>
      </c>
      <c r="AH9" s="30">
        <v>-2.956369052806104</v>
      </c>
      <c r="AI9" s="44">
        <f>(AE9/AA9)*100</f>
        <v>37.490389051207146</v>
      </c>
      <c r="AJ9" s="30">
        <v>4.6912500000000001</v>
      </c>
      <c r="AK9" s="30">
        <v>8.1135000000000002</v>
      </c>
      <c r="AL9" s="30">
        <v>0.021750000000000005</v>
      </c>
      <c r="AM9" s="30">
        <v>2.8732500000000005</v>
      </c>
      <c r="AN9" s="30">
        <v>1.8180000000000001</v>
      </c>
      <c r="AO9" s="30">
        <v>11.801575714959291</v>
      </c>
      <c r="AP9" s="30">
        <f>AN9/AJ9</f>
        <v>0.38752997601918465</v>
      </c>
      <c r="AQ9" s="30">
        <v>-2.8821606018674415</v>
      </c>
      <c r="AR9" s="45">
        <f>(AN9/AJ9)*100</f>
        <v>38.752997601918466</v>
      </c>
      <c r="AS9" s="46">
        <f>AJ9-AA9</f>
        <v>-0.18599999999999994</v>
      </c>
      <c r="AT9" s="30">
        <f>AN9-AE9</f>
        <v>-0.010500000000000398</v>
      </c>
      <c r="AU9" s="30">
        <v>1.9863584131717096</v>
      </c>
      <c r="AV9" s="30">
        <v>0.46944688441470345</v>
      </c>
      <c r="AW9" s="30">
        <v>0.25086319473781515</v>
      </c>
      <c r="AX9" s="31">
        <v>0.25087127052996755</v>
      </c>
      <c r="AY9" s="30">
        <v>5.0847999999999995</v>
      </c>
      <c r="AZ9" s="30">
        <v>2.6079999999999997</v>
      </c>
      <c r="BA9" s="30">
        <v>8.5199411983391151</v>
      </c>
      <c r="BB9" s="30">
        <v>1.8336442370186075</v>
      </c>
      <c r="BC9" s="39">
        <v>-2.656728092758402</v>
      </c>
      <c r="BD9" s="30">
        <v>9.0527999999999995</v>
      </c>
      <c r="BE9" s="30">
        <v>5.7312000000000003</v>
      </c>
      <c r="BF9" s="30">
        <v>17.30072373638729</v>
      </c>
      <c r="BG9" s="30">
        <v>2.5276848650728345</v>
      </c>
      <c r="BH9" s="39">
        <v>-3.1256856210528867</v>
      </c>
      <c r="BI9" s="30">
        <v>10.486799999999999</v>
      </c>
      <c r="BJ9" s="30">
        <v>5.7888000000000002</v>
      </c>
      <c r="BK9" s="30">
        <v>27.748502716289703</v>
      </c>
      <c r="BL9" s="30">
        <v>3.1897266760246423</v>
      </c>
      <c r="BM9" s="39">
        <v>-2.9880893605574803</v>
      </c>
      <c r="BN9" s="30">
        <v>7.2048000000000005</v>
      </c>
      <c r="BO9" s="30">
        <v>3.8304</v>
      </c>
      <c r="BP9" s="30">
        <v>33.924536220076774</v>
      </c>
      <c r="BQ9" s="30">
        <v>5.3108271106429426</v>
      </c>
      <c r="BR9" s="39">
        <v>-2.3719219413359349</v>
      </c>
      <c r="BS9" s="30">
        <v>12.449999999999999</v>
      </c>
      <c r="BT9" s="30">
        <v>6.4212000000000007</v>
      </c>
      <c r="BU9" s="30">
        <v>41.750728277456943</v>
      </c>
      <c r="BV9" s="30">
        <v>3.5608838985758213</v>
      </c>
      <c r="BW9" s="39">
        <v>-2.6197356065620361</v>
      </c>
      <c r="BX9" s="30">
        <v>0.46973620148978779</v>
      </c>
      <c r="BY9" s="30">
        <v>0.71904730646059245</v>
      </c>
      <c r="BZ9" s="30">
        <v>0.1508522403468</v>
      </c>
      <c r="CA9" s="30">
        <v>1.7532500000000002</v>
      </c>
      <c r="CB9" s="30">
        <v>1.6664999999999999</v>
      </c>
      <c r="CC9" s="30">
        <v>0.086750000000000008</v>
      </c>
      <c r="CD9" s="30">
        <v>8.5482660901610465</v>
      </c>
      <c r="CE9" s="30">
        <v>5.3806989929141924</v>
      </c>
      <c r="CF9" s="30">
        <v>0.049750000000000003</v>
      </c>
      <c r="CG9" s="30">
        <v>3.0817263160676855</v>
      </c>
      <c r="CH9" s="30">
        <v>0.74099999999999999</v>
      </c>
      <c r="CI9" s="30">
        <v>0.67949999999999999</v>
      </c>
      <c r="CJ9" s="30">
        <v>0.92550000000000021</v>
      </c>
      <c r="CK9" s="30">
        <v>44.612379796715061</v>
      </c>
      <c r="CL9" s="30">
        <v>40.778675346993111</v>
      </c>
      <c r="CM9" s="30">
        <v>55.387620203284925</v>
      </c>
      <c r="CN9" s="30">
        <v>-1.8054466059629117</v>
      </c>
      <c r="CO9" s="30">
        <v>-2.0296342458770931</v>
      </c>
      <c r="CP9" s="30">
        <v>0.11812519705005864</v>
      </c>
      <c r="CQ9" s="31">
        <v>2.25</v>
      </c>
      <c r="CR9" s="30">
        <v>2.8022499999999999</v>
      </c>
      <c r="CS9" s="30">
        <v>2.2875000000000001</v>
      </c>
      <c r="CT9" s="30">
        <v>0.51475000000000004</v>
      </c>
      <c r="CU9" s="30">
        <v>16.873088825841613</v>
      </c>
      <c r="CV9" s="30">
        <v>7.9377833519995447</v>
      </c>
      <c r="CW9" s="30">
        <v>0.044749999999999998</v>
      </c>
      <c r="CX9" s="30">
        <v>4.0673513065335287</v>
      </c>
      <c r="CY9" s="30">
        <v>1.2990000000000002</v>
      </c>
      <c r="CZ9" s="30">
        <v>1.2375</v>
      </c>
      <c r="DA9" s="30">
        <v>0.98849999999999993</v>
      </c>
      <c r="DB9" s="30">
        <v>56.379183991633475</v>
      </c>
      <c r="DC9" s="30">
        <v>53.563439508894291</v>
      </c>
      <c r="DD9" s="30">
        <v>43.620816008366518</v>
      </c>
      <c r="DE9" s="30">
        <v>-1.793089553553828</v>
      </c>
      <c r="DF9" s="30">
        <v>-1.8890532713121577</v>
      </c>
      <c r="DG9" s="30">
        <v>0.18450549384732703</v>
      </c>
      <c r="DH9" s="30">
        <v>2.3333333333333335</v>
      </c>
      <c r="DI9" s="30">
        <v>4.0615000000000006</v>
      </c>
      <c r="DJ9" s="30">
        <v>4.0665000000000004</v>
      </c>
      <c r="DK9" s="30">
        <v>-0.0049999999999999984</v>
      </c>
      <c r="DL9" s="30">
        <v>10.526212729409364</v>
      </c>
      <c r="DM9" s="30">
        <v>3.3381216009133761</v>
      </c>
      <c r="DN9" s="30">
        <v>0.035000000000000003</v>
      </c>
      <c r="DO9" s="30">
        <v>5.1400279918070515</v>
      </c>
      <c r="DP9" s="30">
        <v>1.371</v>
      </c>
      <c r="DQ9" s="30">
        <v>1.218</v>
      </c>
      <c r="DR9" s="30">
        <v>2.6955000000000005</v>
      </c>
      <c r="DS9" s="30">
        <v>31.227313075274715</v>
      </c>
      <c r="DT9" s="30">
        <v>27.573867105545496</v>
      </c>
      <c r="DU9" s="30">
        <v>68.772686924725292</v>
      </c>
      <c r="DV9" s="30">
        <v>-3.2960514364090714</v>
      </c>
      <c r="DW9" s="30">
        <v>-1.9091251629300316</v>
      </c>
      <c r="DX9" s="30">
        <v>0.14174668680744454</v>
      </c>
      <c r="DY9" s="30">
        <v>2.5</v>
      </c>
      <c r="DZ9" s="30">
        <v>2.8900000000000001</v>
      </c>
      <c r="EA9" s="30">
        <v>2.7870000000000004</v>
      </c>
      <c r="EB9" s="30">
        <v>0.10300000000000001</v>
      </c>
      <c r="EC9" s="30">
        <v>17.14169220569508</v>
      </c>
      <c r="ED9" s="30">
        <v>6.189544778914895</v>
      </c>
      <c r="EE9" s="30">
        <v>0.065000000000000002</v>
      </c>
      <c r="EF9" s="30">
        <v>1.4025000000000001</v>
      </c>
      <c r="EG9" s="30">
        <v>0.84450000000000003</v>
      </c>
      <c r="EH9" s="30">
        <v>1.3845000000000001</v>
      </c>
      <c r="EI9" s="30">
        <v>48.775976937165382</v>
      </c>
      <c r="EJ9" s="30">
        <v>28.022375609693977</v>
      </c>
      <c r="EK9" s="30">
        <v>51.224023062834611</v>
      </c>
      <c r="EL9" s="30">
        <v>-1.9758817741371257</v>
      </c>
      <c r="EM9" s="30">
        <v>-2.1889560765378193</v>
      </c>
      <c r="EN9" s="30">
        <v>0.22477696833781105</v>
      </c>
      <c r="EO9" s="30">
        <v>2.6666666666666665</v>
      </c>
    </row>
    <row r="10" ht="14.25">
      <c r="A10" s="42" t="s">
        <v>138</v>
      </c>
      <c r="B10" s="52">
        <v>2</v>
      </c>
      <c r="C10" s="53">
        <v>6.0599999999999996</v>
      </c>
      <c r="D10" s="30">
        <v>0.89580000000000004</v>
      </c>
      <c r="E10" s="30">
        <v>1.2048000000000001</v>
      </c>
      <c r="F10" s="30">
        <v>2.3213999999999997</v>
      </c>
      <c r="G10" s="30">
        <v>0.22079999999999997</v>
      </c>
      <c r="H10" s="30">
        <v>10.473291622019937</v>
      </c>
      <c r="I10" s="30">
        <v>17.572911286739366</v>
      </c>
      <c r="J10" s="30">
        <v>0.46980000000000011</v>
      </c>
      <c r="K10" s="30">
        <v>52.264515795714239</v>
      </c>
      <c r="L10" s="30">
        <f>J10/F10</f>
        <v>0.20237787542000524</v>
      </c>
      <c r="M10" s="30">
        <v>-1.4901485430419545</v>
      </c>
      <c r="N10" s="31">
        <v>0.12801490746062502</v>
      </c>
      <c r="O10" s="30">
        <v>1.0007999999999999</v>
      </c>
      <c r="P10" s="30">
        <v>0.93120000000000014</v>
      </c>
      <c r="Q10" s="30">
        <v>1.9974000000000001</v>
      </c>
      <c r="R10" s="30">
        <v>0.065400000000000014</v>
      </c>
      <c r="S10" s="30">
        <v>10.582267307369824</v>
      </c>
      <c r="T10" s="30">
        <v>16.672268337203896</v>
      </c>
      <c r="U10" s="30">
        <v>0.50340000000000007</v>
      </c>
      <c r="V10" s="30">
        <v>52.194894495256015</v>
      </c>
      <c r="W10" s="30">
        <f>U10/Q10</f>
        <v>0.25202763592670474</v>
      </c>
      <c r="X10" s="30">
        <v>-1.5395725434574274</v>
      </c>
      <c r="Y10" s="31">
        <v>0.19901789113752624</v>
      </c>
      <c r="Z10" s="32">
        <f>F10-Q10</f>
        <v>0.32399999999999962</v>
      </c>
      <c r="AA10" s="30">
        <v>2.8470000000000004</v>
      </c>
      <c r="AB10" s="30">
        <v>5.8770000000000007</v>
      </c>
      <c r="AC10" s="30">
        <v>0.024</v>
      </c>
      <c r="AD10" s="30">
        <v>1.62825</v>
      </c>
      <c r="AE10" s="30">
        <v>1.21875</v>
      </c>
      <c r="AF10" s="30">
        <v>11.359421039342035</v>
      </c>
      <c r="AG10" s="30">
        <f>AF10/AA10</f>
        <v>3.9899617279037698</v>
      </c>
      <c r="AH10" s="30">
        <v>-2.5857064999112289</v>
      </c>
      <c r="AI10" s="44">
        <f>(AE10/AA10)*100</f>
        <v>42.808219178082183</v>
      </c>
      <c r="AJ10" s="30">
        <v>2.8222500000000004</v>
      </c>
      <c r="AK10" s="30">
        <v>4.8892500000000005</v>
      </c>
      <c r="AL10" s="30">
        <v>0.064500000000000002</v>
      </c>
      <c r="AM10" s="30">
        <v>1.54125</v>
      </c>
      <c r="AN10" s="30">
        <v>1.2809999999999999</v>
      </c>
      <c r="AO10" s="30">
        <v>12.038692430156265</v>
      </c>
      <c r="AP10" s="30">
        <f>AN10/AJ10</f>
        <v>0.45389317034281151</v>
      </c>
      <c r="AQ10" s="30">
        <v>-2.7134262033807142</v>
      </c>
      <c r="AR10" s="45">
        <f>(AN10/AJ10)*100</f>
        <v>45.389317034281149</v>
      </c>
      <c r="AS10" s="46">
        <f>AJ10-AA10</f>
        <v>-0.02475000000000005</v>
      </c>
      <c r="AT10" s="30">
        <f>AN10-AE10</f>
        <v>0.062249999999999917</v>
      </c>
      <c r="AU10" s="30">
        <v>1.5159247430851039</v>
      </c>
      <c r="AV10" s="30">
        <v>0.36382221892329136</v>
      </c>
      <c r="AW10" s="30">
        <v>0.46427707499631754</v>
      </c>
      <c r="AX10" s="31">
        <v>0.46567472193266968</v>
      </c>
      <c r="AY10" s="30">
        <v>4.1968000000000005</v>
      </c>
      <c r="AZ10" s="30">
        <v>1.8879999999999999</v>
      </c>
      <c r="BA10" s="30">
        <v>10.563073224200348</v>
      </c>
      <c r="BB10" s="30">
        <v>2.5589207057035632</v>
      </c>
      <c r="BC10" s="39">
        <v>-2.744947856460727</v>
      </c>
      <c r="BD10" s="30">
        <v>4.1420000000000003</v>
      </c>
      <c r="BE10" s="30">
        <v>1.9900000000000002</v>
      </c>
      <c r="BF10" s="30">
        <v>19.336402600690906</v>
      </c>
      <c r="BG10" s="30">
        <v>4.6939908837489526</v>
      </c>
      <c r="BH10" s="39">
        <v>-2.3336814183828083</v>
      </c>
      <c r="BI10" s="30">
        <v>4.3188000000000004</v>
      </c>
      <c r="BJ10" s="30">
        <v>1.9847999999999999</v>
      </c>
      <c r="BK10" s="30">
        <v>29.414166408768928</v>
      </c>
      <c r="BL10" s="30">
        <v>6.8717111625222431</v>
      </c>
      <c r="BM10" s="39">
        <v>-2.2188186989036516</v>
      </c>
      <c r="BN10" s="30">
        <v>5.313600000000001</v>
      </c>
      <c r="BO10" s="30">
        <v>2.4216000000000006</v>
      </c>
      <c r="BP10" s="30">
        <v>39.932647575503033</v>
      </c>
      <c r="BQ10" s="30">
        <v>7.7326678815250371</v>
      </c>
      <c r="BR10" s="39">
        <v>-2.2941758758849935</v>
      </c>
      <c r="BS10" s="30">
        <v>7.1784000000000008</v>
      </c>
      <c r="BT10" s="30">
        <v>3.5064000000000002</v>
      </c>
      <c r="BU10" s="30">
        <v>48.485064337396196</v>
      </c>
      <c r="BV10" s="30">
        <v>6.8917327445213559</v>
      </c>
      <c r="BW10" s="39">
        <v>-2.4912056650912842</v>
      </c>
      <c r="BX10" s="49">
        <v>0.14744722217499889</v>
      </c>
      <c r="BY10" s="49">
        <v>0.85278534856417609</v>
      </c>
      <c r="BZ10" s="49">
        <v>0.35461095256854469</v>
      </c>
      <c r="CA10" s="30">
        <v>1.1992500000000001</v>
      </c>
      <c r="CB10" s="30">
        <v>0.66600000000000004</v>
      </c>
      <c r="CC10" s="30">
        <v>0.53325</v>
      </c>
      <c r="CD10" s="30">
        <v>7.9690153730778919</v>
      </c>
      <c r="CE10" s="30">
        <v>12.329021603151485</v>
      </c>
      <c r="CF10" s="30">
        <v>0.051749999999999997</v>
      </c>
      <c r="CG10" s="30">
        <v>2.985908991631629</v>
      </c>
      <c r="CH10" s="30">
        <v>0.35100000000000003</v>
      </c>
      <c r="CI10" s="30">
        <v>0.21900000000000003</v>
      </c>
      <c r="CJ10" s="30">
        <v>0.315</v>
      </c>
      <c r="CK10" s="30">
        <v>51.838820150993726</v>
      </c>
      <c r="CL10" s="30">
        <v>30.892083403768289</v>
      </c>
      <c r="CM10" s="30">
        <v>48.161179849006274</v>
      </c>
      <c r="CN10" s="30">
        <v>-1.4562189871011677</v>
      </c>
      <c r="CO10" s="30">
        <v>-1.5754380704371758</v>
      </c>
      <c r="CP10" s="30">
        <v>0.093065122919999452</v>
      </c>
      <c r="CQ10" s="31">
        <v>0</v>
      </c>
      <c r="CR10" s="30">
        <v>1.6327500000000001</v>
      </c>
      <c r="CS10" s="30">
        <v>1.0455000000000001</v>
      </c>
      <c r="CT10" s="30">
        <v>0.58724999999999994</v>
      </c>
      <c r="CU10" s="30">
        <v>16.295598090286394</v>
      </c>
      <c r="CV10" s="30">
        <v>15.911891530544107</v>
      </c>
      <c r="CW10" s="30">
        <v>0.054749999999999986</v>
      </c>
      <c r="CX10" s="30">
        <v>4.0224979666663128</v>
      </c>
      <c r="CY10" s="30">
        <v>0.54300000000000004</v>
      </c>
      <c r="CZ10" s="30">
        <v>0.15900000000000003</v>
      </c>
      <c r="DA10" s="30">
        <v>0.50249999999999995</v>
      </c>
      <c r="DB10" s="30">
        <v>52.951133683253815</v>
      </c>
      <c r="DC10" s="30">
        <v>16.01333408922309</v>
      </c>
      <c r="DD10" s="30">
        <v>47.048866316746185</v>
      </c>
      <c r="DE10" s="30">
        <v>-1.4982375095312699</v>
      </c>
      <c r="DF10" s="30">
        <v>-1.670857623683585</v>
      </c>
      <c r="DG10" s="30">
        <v>0.12308970666840828</v>
      </c>
      <c r="DH10" s="30">
        <v>0.5</v>
      </c>
      <c r="DI10" s="30">
        <v>1.5050000000000003</v>
      </c>
      <c r="DJ10" s="30">
        <v>1.1895</v>
      </c>
      <c r="DK10" s="30">
        <v>0.3155</v>
      </c>
      <c r="DL10" s="30">
        <v>8.9003366830200736</v>
      </c>
      <c r="DM10" s="30">
        <v>7.8544990255807239</v>
      </c>
      <c r="DN10" s="30">
        <v>0.050500000000000003</v>
      </c>
      <c r="DO10" s="30">
        <v>5.1213979095739486</v>
      </c>
      <c r="DP10" s="30">
        <v>0.3795</v>
      </c>
      <c r="DQ10" s="30">
        <v>0.16500000000000001</v>
      </c>
      <c r="DR10" s="30">
        <v>0.81000000000000016</v>
      </c>
      <c r="DS10" s="30">
        <v>31.849698218765162</v>
      </c>
      <c r="DT10" s="30">
        <v>12.586399672231705</v>
      </c>
      <c r="DU10" s="30">
        <v>68.15030178123483</v>
      </c>
      <c r="DV10" s="30">
        <v>-1.6778348133370233</v>
      </c>
      <c r="DW10" s="30">
        <v>-1.5512687039682032</v>
      </c>
      <c r="DX10" s="30">
        <v>0.14028725276285264</v>
      </c>
      <c r="DY10" s="30">
        <v>1.5</v>
      </c>
      <c r="DZ10" s="30">
        <v>1.7557500000000001</v>
      </c>
      <c r="EA10" s="30">
        <v>1.046</v>
      </c>
      <c r="EB10" s="30">
        <v>0.67875000000000008</v>
      </c>
      <c r="EC10" s="30">
        <v>16.740418057308236</v>
      </c>
      <c r="ED10" s="30">
        <v>16.213642458974828</v>
      </c>
      <c r="EE10" s="30">
        <v>0.054749999999999986</v>
      </c>
      <c r="EF10" s="30">
        <v>0.39600000000000002</v>
      </c>
      <c r="EG10" s="30">
        <v>0.13500000000000001</v>
      </c>
      <c r="EH10" s="30">
        <v>0.64000000000000001</v>
      </c>
      <c r="EI10" s="30">
        <v>37.33959856131802</v>
      </c>
      <c r="EJ10" s="30">
        <v>12.470909173819958</v>
      </c>
      <c r="EK10" s="30">
        <v>62.660401438681973</v>
      </c>
      <c r="EL10" s="30">
        <v>-1.4372722634196642</v>
      </c>
      <c r="EM10" s="30">
        <v>-1.6045341878869106</v>
      </c>
      <c r="EN10" s="30">
        <v>0.16478634826889907</v>
      </c>
      <c r="EO10" s="30">
        <v>0.25</v>
      </c>
    </row>
    <row r="11" ht="14.25">
      <c r="A11" s="42" t="s">
        <v>139</v>
      </c>
      <c r="B11" s="43">
        <v>1</v>
      </c>
      <c r="C11" s="54">
        <v>6.0899999999999999</v>
      </c>
      <c r="D11" s="30">
        <v>0.97028571428571431</v>
      </c>
      <c r="E11" s="30">
        <v>1.4134285714285715</v>
      </c>
      <c r="F11" s="30">
        <v>2.9914285714285715</v>
      </c>
      <c r="G11" s="30">
        <v>0.60771428571428565</v>
      </c>
      <c r="H11" s="30">
        <v>10.727759941394499</v>
      </c>
      <c r="I11" s="30">
        <v>18.039490786529132</v>
      </c>
      <c r="J11" s="30">
        <v>0.45685714285714291</v>
      </c>
      <c r="K11" s="30">
        <v>46.988175329932808</v>
      </c>
      <c r="L11" s="30">
        <f>J11/F11</f>
        <v>0.15272206303724931</v>
      </c>
      <c r="M11" s="30">
        <v>-1.6036311491239221</v>
      </c>
      <c r="N11" s="31">
        <v>0.18810535526061165</v>
      </c>
      <c r="O11" s="30">
        <v>0.95799999999999996</v>
      </c>
      <c r="P11" s="30">
        <v>0.98466666666666669</v>
      </c>
      <c r="Q11" s="30">
        <v>2.5559999999999996</v>
      </c>
      <c r="R11" s="30">
        <v>0.6133333333333334</v>
      </c>
      <c r="S11" s="30">
        <v>10.317199045619569</v>
      </c>
      <c r="T11" s="30">
        <v>17.392036167246594</v>
      </c>
      <c r="U11" s="30">
        <v>0.53066666666666673</v>
      </c>
      <c r="V11" s="30">
        <v>53.8892510476187</v>
      </c>
      <c r="W11" s="30">
        <f>U11/Q11</f>
        <v>0.20761606677099639</v>
      </c>
      <c r="X11" s="30">
        <v>-1.5912689843612537</v>
      </c>
      <c r="Y11" s="31">
        <v>0.14489358931451071</v>
      </c>
      <c r="Z11" s="32">
        <f>F11-Q11</f>
        <v>0.43542857142857194</v>
      </c>
      <c r="AA11" s="30">
        <v>2.6886666666666668</v>
      </c>
      <c r="AB11" s="30">
        <v>4.7480000000000002</v>
      </c>
      <c r="AC11" s="30">
        <v>0.0093333333333333324</v>
      </c>
      <c r="AD11" s="30">
        <v>1.6599999999999999</v>
      </c>
      <c r="AE11" s="30">
        <v>1.0286666666666671</v>
      </c>
      <c r="AF11" s="30">
        <v>11.496816053960821</v>
      </c>
      <c r="AG11" s="30">
        <f>AF11/AA11</f>
        <v>4.2760287827773942</v>
      </c>
      <c r="AH11" s="30">
        <v>-2.3681506664249414</v>
      </c>
      <c r="AI11" s="44">
        <f>(AE11/AA11)*100</f>
        <v>38.259360277708915</v>
      </c>
      <c r="AJ11" s="30">
        <v>2.5700000000000003</v>
      </c>
      <c r="AK11" s="30">
        <v>4.8660000000000005</v>
      </c>
      <c r="AL11" s="30">
        <v>0.034666666666666672</v>
      </c>
      <c r="AM11" s="30">
        <v>1.5193333333333332</v>
      </c>
      <c r="AN11" s="30">
        <v>1.0506666666666669</v>
      </c>
      <c r="AO11" s="30">
        <v>11.684883252307916</v>
      </c>
      <c r="AP11" s="30">
        <f>AN11/AJ11</f>
        <v>0.40881971465629058</v>
      </c>
      <c r="AQ11" s="30">
        <v>-2.3003613184357072</v>
      </c>
      <c r="AR11" s="45">
        <f>(AN11/AJ11)*100</f>
        <v>40.881971465629057</v>
      </c>
      <c r="AS11" s="46">
        <f>AJ11-AA11</f>
        <v>-0.11866666666666648</v>
      </c>
      <c r="AT11" s="30">
        <f>AN11-AE11</f>
        <v>0.021999999999999797</v>
      </c>
      <c r="AU11" s="30">
        <v>2.8437514402315927</v>
      </c>
      <c r="AV11" s="30">
        <v>0.043412949709575148</v>
      </c>
      <c r="AW11" s="30">
        <v>0.0068352283298402927</v>
      </c>
      <c r="AX11" s="31">
        <v>0.0068691801636867264</v>
      </c>
      <c r="AY11" s="30">
        <v>2.3919999999999999</v>
      </c>
      <c r="AZ11" s="30">
        <v>1.157</v>
      </c>
      <c r="BA11" s="30">
        <v>10.748344769284301</v>
      </c>
      <c r="BB11" s="30">
        <v>4.5182920736187002</v>
      </c>
      <c r="BC11" s="39">
        <v>-2.3522678384857172</v>
      </c>
      <c r="BD11" s="30">
        <v>3.9036</v>
      </c>
      <c r="BE11" s="30">
        <v>1.9848000000000003</v>
      </c>
      <c r="BF11" s="30">
        <v>19.558397679181979</v>
      </c>
      <c r="BG11" s="30">
        <v>5.5068309110267366</v>
      </c>
      <c r="BH11" s="39">
        <v>-2.1538534895946659</v>
      </c>
      <c r="BI11" s="30">
        <v>3.5508000000000002</v>
      </c>
      <c r="BJ11" s="30">
        <v>1.9524000000000001</v>
      </c>
      <c r="BK11" s="30">
        <v>31.630330518111766</v>
      </c>
      <c r="BL11" s="30">
        <v>10.38123462857569</v>
      </c>
      <c r="BM11" s="39">
        <v>-2.2225783107490527</v>
      </c>
      <c r="BN11" s="30">
        <v>3.5027999999999997</v>
      </c>
      <c r="BO11" s="30">
        <v>2.0327999999999999</v>
      </c>
      <c r="BP11" s="30">
        <v>38.592469332090424</v>
      </c>
      <c r="BQ11" s="30">
        <v>11.367472789510439</v>
      </c>
      <c r="BR11" s="39">
        <v>-2.3092771922952342</v>
      </c>
      <c r="BS11" s="30">
        <v>2.8956</v>
      </c>
      <c r="BT11" s="30">
        <v>1.482</v>
      </c>
      <c r="BU11" s="30">
        <v>51.380355325319769</v>
      </c>
      <c r="BV11" s="30">
        <v>18.375344534298868</v>
      </c>
      <c r="BW11" s="39">
        <v>-2.3969239522505617</v>
      </c>
      <c r="BX11" s="30">
        <v>0.15665935895580579</v>
      </c>
      <c r="BY11" s="30">
        <v>1.0673265208015259</v>
      </c>
      <c r="BZ11" s="30">
        <v>0.13947092679688766</v>
      </c>
      <c r="CA11" s="30">
        <v>1.5197500000000002</v>
      </c>
      <c r="CB11" s="30">
        <v>0.89100000000000001</v>
      </c>
      <c r="CC11" s="30">
        <v>0.62875000000000003</v>
      </c>
      <c r="CD11" s="30">
        <v>8.4049428601502818</v>
      </c>
      <c r="CE11" s="30">
        <v>10.484766672540225</v>
      </c>
      <c r="CF11" s="30">
        <v>0.037250000000000005</v>
      </c>
      <c r="CG11" s="30">
        <v>3.0645202140984922</v>
      </c>
      <c r="CH11" s="30">
        <v>0.36150000000000004</v>
      </c>
      <c r="CI11" s="30">
        <v>0.17850000000000002</v>
      </c>
      <c r="CJ11" s="30">
        <v>0.52949999999999997</v>
      </c>
      <c r="CK11" s="30">
        <v>42.012524630708441</v>
      </c>
      <c r="CL11" s="30">
        <v>20.413367317305962</v>
      </c>
      <c r="CM11" s="30">
        <v>57.987475369291566</v>
      </c>
      <c r="CN11" s="30">
        <v>-1.5355341413877517</v>
      </c>
      <c r="CO11" s="30">
        <v>-1.5560053364601245</v>
      </c>
      <c r="CP11" s="30">
        <v>0.065355082571429912</v>
      </c>
      <c r="CQ11" s="31">
        <v>1</v>
      </c>
      <c r="CR11" s="30">
        <v>1.9692500000000002</v>
      </c>
      <c r="CS11" s="30">
        <v>1.4250000000000003</v>
      </c>
      <c r="CT11" s="30">
        <v>0.54425000000000001</v>
      </c>
      <c r="CU11" s="30">
        <v>17.012006800332969</v>
      </c>
      <c r="CV11" s="30">
        <v>12.125577215660101</v>
      </c>
      <c r="CW11" s="30">
        <v>0.049750000000000003</v>
      </c>
      <c r="CX11" s="30">
        <v>4.0797518926060921</v>
      </c>
      <c r="CY11" s="30">
        <v>0.47099999999999997</v>
      </c>
      <c r="CZ11" s="30">
        <v>0.20400000000000001</v>
      </c>
      <c r="DA11" s="30">
        <v>0.95400000000000029</v>
      </c>
      <c r="DB11" s="30">
        <v>32.475591403745767</v>
      </c>
      <c r="DC11" s="30">
        <v>13.885976512070679</v>
      </c>
      <c r="DD11" s="30">
        <v>67.524408596254233</v>
      </c>
      <c r="DE11" s="30">
        <v>-1.5630470335164803</v>
      </c>
      <c r="DF11" s="30">
        <v>-1.6201560245411872</v>
      </c>
      <c r="DG11" s="30">
        <v>0.15891721831537692</v>
      </c>
      <c r="DH11" s="30">
        <v>1.5</v>
      </c>
      <c r="DI11" s="30">
        <v>1.3960000000000001</v>
      </c>
      <c r="DJ11" s="30">
        <v>1.0545</v>
      </c>
      <c r="DK11" s="30">
        <v>0.34150000000000003</v>
      </c>
      <c r="DL11" s="30">
        <v>8.8964805754892282</v>
      </c>
      <c r="DM11" s="30">
        <v>8.7065665224959705</v>
      </c>
      <c r="DN11" s="30">
        <v>0.050000000000000003</v>
      </c>
      <c r="DO11" s="30">
        <v>5.1453333364454492</v>
      </c>
      <c r="DP11" s="30">
        <v>0.34799999999999998</v>
      </c>
      <c r="DQ11" s="30">
        <v>0.23100000000000001</v>
      </c>
      <c r="DR11" s="30">
        <v>0.70650000000000013</v>
      </c>
      <c r="DS11" s="30">
        <v>34.054335705182666</v>
      </c>
      <c r="DT11" s="30">
        <v>22.150572606910227</v>
      </c>
      <c r="DU11" s="30">
        <v>65.945664294817334</v>
      </c>
      <c r="DV11" s="30">
        <v>-1.534304548689357</v>
      </c>
      <c r="DW11" s="30">
        <v>-1.5298295756314002</v>
      </c>
      <c r="DX11" s="30">
        <v>0.065485517173264882</v>
      </c>
      <c r="DY11" s="30">
        <v>1.3333333333333333</v>
      </c>
      <c r="DZ11" s="30">
        <v>2.2622500000000003</v>
      </c>
      <c r="EA11" s="30">
        <v>1.6800000000000002</v>
      </c>
      <c r="EB11" s="30">
        <v>0.58224999999999993</v>
      </c>
      <c r="EC11" s="30">
        <v>17.315427796070693</v>
      </c>
      <c r="ED11" s="30">
        <v>10.426587881625776</v>
      </c>
      <c r="EE11" s="30">
        <v>0.03875</v>
      </c>
      <c r="EF11" s="30">
        <v>0.78300000000000003</v>
      </c>
      <c r="EG11" s="30">
        <v>0.24450000000000002</v>
      </c>
      <c r="EH11" s="30">
        <v>0.89700000000000002</v>
      </c>
      <c r="EI11" s="30">
        <v>48.059865281668088</v>
      </c>
      <c r="EJ11" s="30">
        <v>14.091186525435711</v>
      </c>
      <c r="EK11" s="30">
        <v>51.940134718331912</v>
      </c>
      <c r="EL11" s="30">
        <v>-1.634923454681525</v>
      </c>
      <c r="EM11" s="30">
        <v>-1.7846016783384226</v>
      </c>
      <c r="EN11" s="30">
        <v>0.178503684786148</v>
      </c>
      <c r="EO11" s="30">
        <v>1.6666666666666667</v>
      </c>
    </row>
    <row r="12" ht="14.25">
      <c r="A12" s="42" t="s">
        <v>139</v>
      </c>
      <c r="B12" s="43">
        <v>1</v>
      </c>
      <c r="C12" s="43">
        <v>6.0899999999999999</v>
      </c>
      <c r="D12" s="30">
        <v>1.1653333333333336</v>
      </c>
      <c r="E12" s="30">
        <v>1.296</v>
      </c>
      <c r="F12" s="30">
        <v>2.5140000000000002</v>
      </c>
      <c r="G12" s="30">
        <v>0.052666666666666667</v>
      </c>
      <c r="H12" s="30">
        <v>10.428683536238674</v>
      </c>
      <c r="I12" s="30">
        <v>17.36130664326587</v>
      </c>
      <c r="J12" s="30">
        <v>0.54800000000000004</v>
      </c>
      <c r="K12" s="30">
        <v>48.497081918933219</v>
      </c>
      <c r="L12" s="30">
        <f>J12/F12</f>
        <v>0.21797931583134447</v>
      </c>
      <c r="M12" s="30">
        <v>-1.7354409376398392</v>
      </c>
      <c r="N12" s="31">
        <v>0.14222809972075084</v>
      </c>
      <c r="O12" s="30">
        <v>1.0913999999999999</v>
      </c>
      <c r="P12" s="30">
        <v>1.2906000000000002</v>
      </c>
      <c r="Q12" s="30">
        <v>2.4443999999999999</v>
      </c>
      <c r="R12" s="30">
        <v>0.062399999999999997</v>
      </c>
      <c r="S12" s="30">
        <v>10.462974147175954</v>
      </c>
      <c r="T12" s="30">
        <v>17.156029609265314</v>
      </c>
      <c r="U12" s="30">
        <v>0.54359999999999997</v>
      </c>
      <c r="V12" s="30">
        <v>50.632819024702769</v>
      </c>
      <c r="W12" s="30">
        <f>U12/Q12</f>
        <v>0.22238586156111928</v>
      </c>
      <c r="X12" s="30">
        <v>-1.6675489734173266</v>
      </c>
      <c r="Y12" s="31">
        <v>0.19401124131606862</v>
      </c>
      <c r="Z12" s="32">
        <f>F12-Q12</f>
        <v>0.069600000000000328</v>
      </c>
      <c r="AA12" s="30">
        <v>1.8353999999999999</v>
      </c>
      <c r="AB12" s="30">
        <v>3.6498000000000004</v>
      </c>
      <c r="AC12" s="30">
        <v>0.012</v>
      </c>
      <c r="AD12" s="30">
        <v>1.1081999999999999</v>
      </c>
      <c r="AE12" s="30">
        <v>0.72720000000000007</v>
      </c>
      <c r="AF12" s="30">
        <v>11.393126371265438</v>
      </c>
      <c r="AG12" s="30">
        <f>AF12/AA12</f>
        <v>6.2074350938571641</v>
      </c>
      <c r="AH12" s="30">
        <v>-2.4967349467163791</v>
      </c>
      <c r="AI12" s="44">
        <f>(AE12/AA12)*100</f>
        <v>39.620791108205303</v>
      </c>
      <c r="AJ12" s="30">
        <v>2.0718000000000005</v>
      </c>
      <c r="AK12" s="30">
        <v>4.483200000000001</v>
      </c>
      <c r="AL12" s="30">
        <v>0.012</v>
      </c>
      <c r="AM12" s="30">
        <v>1.2713999999999999</v>
      </c>
      <c r="AN12" s="30">
        <v>0.80040000000000011</v>
      </c>
      <c r="AO12" s="30">
        <v>11.949490819276383</v>
      </c>
      <c r="AP12" s="30">
        <f>AN12/AJ12</f>
        <v>0.38633072690414128</v>
      </c>
      <c r="AQ12" s="30">
        <v>-2.4149426444169211</v>
      </c>
      <c r="AR12" s="45">
        <f>(AN12/AJ12)*100</f>
        <v>38.633072690414124</v>
      </c>
      <c r="AS12" s="46">
        <f>AJ12-AA12</f>
        <v>0.23640000000000061</v>
      </c>
      <c r="AT12" s="30">
        <f>AN12-AE12</f>
        <v>0.073200000000000043</v>
      </c>
      <c r="AU12" s="30">
        <v>1.1439168733513041</v>
      </c>
      <c r="AV12" s="30">
        <v>0.46857511292169202</v>
      </c>
      <c r="AW12" s="30">
        <v>0.18126021438077922</v>
      </c>
      <c r="AX12" s="31">
        <v>0.18132999721727708</v>
      </c>
      <c r="AY12" s="30">
        <v>3.8160000000000003</v>
      </c>
      <c r="AZ12" s="30">
        <v>1.9728000000000001</v>
      </c>
      <c r="BA12" s="30">
        <v>9.5726026900402452</v>
      </c>
      <c r="BB12" s="30">
        <v>2.5641775655448087</v>
      </c>
      <c r="BC12" s="39">
        <v>-2.7560858004684521</v>
      </c>
      <c r="BD12" s="30">
        <v>3.9960000000000009</v>
      </c>
      <c r="BE12" s="30">
        <v>1.9320000000000004</v>
      </c>
      <c r="BF12" s="30">
        <v>19.383580376010894</v>
      </c>
      <c r="BG12" s="30">
        <v>4.8749240365778777</v>
      </c>
      <c r="BH12" s="39">
        <v>-2.5595191331394602</v>
      </c>
      <c r="BI12" s="30">
        <v>4.0835999999999997</v>
      </c>
      <c r="BJ12" s="30">
        <v>2.0700000000000003</v>
      </c>
      <c r="BK12" s="30">
        <v>28.451822799768944</v>
      </c>
      <c r="BL12" s="30">
        <v>7.363523054953669</v>
      </c>
      <c r="BM12" s="39">
        <v>-2.5679433534571561</v>
      </c>
      <c r="BN12" s="30">
        <v>8.9652000000000012</v>
      </c>
      <c r="BO12" s="30">
        <v>4.8216000000000001</v>
      </c>
      <c r="BP12" s="30">
        <v>38.039235379134603</v>
      </c>
      <c r="BQ12" s="30">
        <v>5.2449753928848599</v>
      </c>
      <c r="BR12" s="39">
        <v>-2.5833930011635431</v>
      </c>
      <c r="BS12" s="30">
        <v>5.532</v>
      </c>
      <c r="BT12" s="30">
        <v>3.0765000000000002</v>
      </c>
      <c r="BU12" s="30">
        <v>47.620190876266591</v>
      </c>
      <c r="BV12" s="30">
        <v>8.8306839800552215</v>
      </c>
      <c r="BW12" s="39">
        <v>-2.3622902631351104</v>
      </c>
      <c r="BX12" s="30">
        <v>0.45933124103925099</v>
      </c>
      <c r="BY12" s="30">
        <v>0.33087055051070668</v>
      </c>
      <c r="BZ12" s="30">
        <v>0.36739383612032506</v>
      </c>
      <c r="CA12" s="30">
        <v>1.6400000000000001</v>
      </c>
      <c r="CB12" s="30">
        <v>1.095</v>
      </c>
      <c r="CC12" s="30">
        <v>0.54500000000000004</v>
      </c>
      <c r="CD12" s="30">
        <v>8.4725422417730378</v>
      </c>
      <c r="CE12" s="30">
        <v>8.0015394900597556</v>
      </c>
      <c r="CF12" s="30">
        <v>0.052000000000000005</v>
      </c>
      <c r="CG12" s="30">
        <v>3.0735271607918211</v>
      </c>
      <c r="CH12" s="30">
        <v>0.47999999999999998</v>
      </c>
      <c r="CI12" s="30">
        <v>0.21150000000000002</v>
      </c>
      <c r="CJ12" s="30">
        <v>0.61499999999999999</v>
      </c>
      <c r="CK12" s="30">
        <v>45.641715632027577</v>
      </c>
      <c r="CL12" s="30">
        <v>21.560282974144499</v>
      </c>
      <c r="CM12" s="30">
        <v>54.358284367972416</v>
      </c>
      <c r="CN12" s="30">
        <v>-1.7007114000137342</v>
      </c>
      <c r="CO12" s="30">
        <v>-1.6621163854866663</v>
      </c>
      <c r="CP12" s="30">
        <v>0.12649792796492176</v>
      </c>
      <c r="CQ12" s="31">
        <v>1.25</v>
      </c>
      <c r="CR12" s="30">
        <v>2.5254999999999996</v>
      </c>
      <c r="CS12" s="30">
        <v>1.7175000000000005</v>
      </c>
      <c r="CT12" s="30">
        <v>0.80800000000000005</v>
      </c>
      <c r="CU12" s="30">
        <v>16.526112817649466</v>
      </c>
      <c r="CV12" s="30">
        <v>11.156894436485885</v>
      </c>
      <c r="CW12" s="30">
        <v>0.049999999999999996</v>
      </c>
      <c r="CX12" s="30">
        <v>4.0324400947276331</v>
      </c>
      <c r="CY12" s="30">
        <v>0.77549999999999997</v>
      </c>
      <c r="CZ12" s="30">
        <v>0.53549999999999998</v>
      </c>
      <c r="DA12" s="30">
        <v>0.94200000000000017</v>
      </c>
      <c r="DB12" s="30">
        <v>45.367739586416455</v>
      </c>
      <c r="DC12" s="30">
        <v>31.209274821953937</v>
      </c>
      <c r="DD12" s="30">
        <v>54.632260413583552</v>
      </c>
      <c r="DE12" s="30">
        <v>-1.5717468950200351</v>
      </c>
      <c r="DF12" s="30">
        <v>-1.6982855696868928</v>
      </c>
      <c r="DG12" s="30">
        <v>0.1993550509896353</v>
      </c>
      <c r="DH12" s="30">
        <v>1.75</v>
      </c>
      <c r="DI12" s="30">
        <v>2.1905000000000001</v>
      </c>
      <c r="DJ12" s="30">
        <v>1.6440000000000001</v>
      </c>
      <c r="DK12" s="30">
        <v>0.54649999999999999</v>
      </c>
      <c r="DL12" s="30">
        <v>9.2578755388329057</v>
      </c>
      <c r="DM12" s="30">
        <v>5.6928239068293145</v>
      </c>
      <c r="DN12" s="30">
        <v>0.056500000000000009</v>
      </c>
      <c r="DO12" s="30">
        <v>5.1868413440319259</v>
      </c>
      <c r="DP12" s="30">
        <v>0.45000000000000001</v>
      </c>
      <c r="DQ12" s="30">
        <v>-0.29699999999999999</v>
      </c>
      <c r="DR12" s="30">
        <v>1.1940000000000002</v>
      </c>
      <c r="DS12" s="30">
        <v>26.704008555545567</v>
      </c>
      <c r="DT12" s="30">
        <v>-16.961833546285067</v>
      </c>
      <c r="DU12" s="30">
        <v>73.29599144445443</v>
      </c>
      <c r="DV12" s="30">
        <v>-1.7215606418798681</v>
      </c>
      <c r="DW12" s="30">
        <v>-1.6669369559499896</v>
      </c>
      <c r="DX12" s="30">
        <v>0.1185548290268396</v>
      </c>
      <c r="DY12" s="30">
        <v>2.5</v>
      </c>
      <c r="DZ12" s="30">
        <v>3.3850000000000007</v>
      </c>
      <c r="EA12" s="30">
        <v>1.7175000000000005</v>
      </c>
      <c r="EB12" s="30">
        <v>1.6674999999999998</v>
      </c>
      <c r="EC12" s="30">
        <v>16.473733468056466</v>
      </c>
      <c r="ED12" s="30">
        <v>9.7832965254348494</v>
      </c>
      <c r="EE12" s="30">
        <v>0.041000000000000002</v>
      </c>
      <c r="EF12" s="30">
        <v>0.79049999999999998</v>
      </c>
      <c r="EG12" s="30">
        <v>0.42899999999999999</v>
      </c>
      <c r="EH12" s="30">
        <v>0.92699999999999994</v>
      </c>
      <c r="EI12" s="30">
        <v>46.295999722480204</v>
      </c>
      <c r="EJ12" s="30">
        <v>25.042474214505884</v>
      </c>
      <c r="EK12" s="30">
        <v>53.704000277519796</v>
      </c>
      <c r="EL12" s="30">
        <v>-1.6543233359991021</v>
      </c>
      <c r="EM12" s="30">
        <v>-1.7400404945660533</v>
      </c>
      <c r="EN12" s="30">
        <v>0.19200218496785881</v>
      </c>
      <c r="EO12" s="30">
        <v>2</v>
      </c>
    </row>
    <row r="13" ht="14.25">
      <c r="A13" s="42" t="s">
        <v>138</v>
      </c>
      <c r="B13" s="52">
        <v>2</v>
      </c>
      <c r="C13" s="55">
        <v>6.0899999999999999</v>
      </c>
      <c r="D13" s="30">
        <v>0.75600000000000001</v>
      </c>
      <c r="E13" s="30">
        <v>0.91200000000000014</v>
      </c>
      <c r="F13" s="30">
        <v>2.0268000000000002</v>
      </c>
      <c r="G13" s="30">
        <v>0.35880000000000001</v>
      </c>
      <c r="H13" s="30">
        <v>10.488773178617251</v>
      </c>
      <c r="I13" s="30">
        <v>17.937607003154209</v>
      </c>
      <c r="J13" s="30">
        <v>0.38879999999999998</v>
      </c>
      <c r="K13" s="30">
        <v>53.113817789545941</v>
      </c>
      <c r="L13" s="30">
        <f>J13/F13</f>
        <v>0.19182948490230903</v>
      </c>
      <c r="M13" s="30">
        <v>-1.4956153629474245</v>
      </c>
      <c r="N13" s="31">
        <v>0.28900133139729389</v>
      </c>
      <c r="O13" s="30">
        <v>0.79800000000000015</v>
      </c>
      <c r="P13" s="30">
        <v>0.93333333333333357</v>
      </c>
      <c r="Q13" s="30">
        <v>2.0359999999999996</v>
      </c>
      <c r="R13" s="30">
        <v>0.30466666666666664</v>
      </c>
      <c r="S13" s="30">
        <v>10.15133398726676</v>
      </c>
      <c r="T13" s="30">
        <v>18.277453374317346</v>
      </c>
      <c r="U13" s="30">
        <v>0.47533333333333327</v>
      </c>
      <c r="V13" s="30">
        <v>58.541940371953132</v>
      </c>
      <c r="W13" s="30">
        <f>U13/Q13</f>
        <v>0.23346430910281599</v>
      </c>
      <c r="X13" s="30">
        <v>-1.5128561280067865</v>
      </c>
      <c r="Y13" s="31">
        <v>0.19290266360073596</v>
      </c>
      <c r="Z13" s="50">
        <f>F13-Q13</f>
        <v>-0.0091999999999994309</v>
      </c>
      <c r="AA13" s="30">
        <v>2.1545999999999998</v>
      </c>
      <c r="AB13" s="30">
        <v>4.5881999999999996</v>
      </c>
      <c r="AC13" s="30">
        <v>0.047400000000000012</v>
      </c>
      <c r="AD13" s="30">
        <v>1.1892</v>
      </c>
      <c r="AE13" s="30">
        <v>0.96540000000000015</v>
      </c>
      <c r="AF13" s="30">
        <v>11.986975603545117</v>
      </c>
      <c r="AG13" s="30">
        <f>AF13/AA13</f>
        <v>5.5634343282025052</v>
      </c>
      <c r="AH13" s="30">
        <v>-2.4085319886409655</v>
      </c>
      <c r="AI13" s="44">
        <f>(AE13/AA13)*100</f>
        <v>44.80646059593429</v>
      </c>
      <c r="AJ13" s="30">
        <v>2.4673333333333338</v>
      </c>
      <c r="AK13" s="30">
        <v>4.6573333333333338</v>
      </c>
      <c r="AL13" s="30">
        <v>0.018000000000000002</v>
      </c>
      <c r="AM13" s="30">
        <v>1.464</v>
      </c>
      <c r="AN13" s="30">
        <v>1.0033333333333334</v>
      </c>
      <c r="AO13" s="30">
        <v>12.25359923504033</v>
      </c>
      <c r="AP13" s="30">
        <f>AN13/AJ13</f>
        <v>0.4066468522021075</v>
      </c>
      <c r="AQ13" s="30">
        <v>-2.3832624977597661</v>
      </c>
      <c r="AR13" s="45">
        <f>(AN13/AJ13)*100</f>
        <v>40.66468522021075</v>
      </c>
      <c r="AS13" s="46">
        <f>AJ13-AA13</f>
        <v>0.31273333333333397</v>
      </c>
      <c r="AT13" s="30">
        <f>AN13-AE13</f>
        <v>0.037933333333333263</v>
      </c>
      <c r="AU13" s="30">
        <v>0.33160533539667275</v>
      </c>
      <c r="AV13" s="30">
        <v>0.69807211509906753</v>
      </c>
      <c r="AW13" s="30">
        <v>0.2633516746737451</v>
      </c>
      <c r="AX13" s="31">
        <v>0.26705364991100944</v>
      </c>
      <c r="AY13" s="30">
        <v>2.7372000000000001</v>
      </c>
      <c r="AZ13" s="30">
        <v>1.3308000000000002</v>
      </c>
      <c r="BA13" s="30">
        <v>10.041209306255379</v>
      </c>
      <c r="BB13" s="30">
        <v>4.6881612427917974</v>
      </c>
      <c r="BC13" s="39">
        <v>-2.1871691914402751</v>
      </c>
      <c r="BD13" s="30">
        <v>1.5588000000000002</v>
      </c>
      <c r="BE13" s="30">
        <v>0.71520000000000006</v>
      </c>
      <c r="BF13" s="30">
        <v>17.79355429795098</v>
      </c>
      <c r="BG13" s="30">
        <v>13.825543364303567</v>
      </c>
      <c r="BH13" s="39">
        <v>-1.9492316916159869</v>
      </c>
      <c r="BI13" s="30">
        <v>4.4556000000000013</v>
      </c>
      <c r="BJ13" s="30">
        <v>2.0244</v>
      </c>
      <c r="BK13" s="30">
        <v>29.370953908202615</v>
      </c>
      <c r="BL13" s="30">
        <v>6.8916550769289486</v>
      </c>
      <c r="BM13" s="39">
        <v>-2.4799217777842562</v>
      </c>
      <c r="BN13" s="30">
        <v>1.8000000000000003</v>
      </c>
      <c r="BO13" s="30">
        <v>0.82350000000000012</v>
      </c>
      <c r="BP13" s="30">
        <v>36.297806575469536</v>
      </c>
      <c r="BQ13" s="30">
        <v>20.757590213871289</v>
      </c>
      <c r="BR13" s="39">
        <v>-2.1069526507571652</v>
      </c>
      <c r="BS13" s="30">
        <v>5.8236000000000008</v>
      </c>
      <c r="BT13" s="30">
        <v>3.0900000000000003</v>
      </c>
      <c r="BU13" s="30">
        <v>47.70485522435952</v>
      </c>
      <c r="BV13" s="30">
        <v>8.956632556349982</v>
      </c>
      <c r="BW13" s="39">
        <v>-2.2560402415438037</v>
      </c>
      <c r="BX13" s="49">
        <v>0.23241910338595353</v>
      </c>
      <c r="BY13" s="49">
        <v>0.39042853173107711</v>
      </c>
      <c r="BZ13" s="49">
        <v>0.30983240122462274</v>
      </c>
      <c r="CA13" s="30">
        <v>0.94575000000000009</v>
      </c>
      <c r="CB13" s="30">
        <v>0.61350000000000016</v>
      </c>
      <c r="CC13" s="30">
        <v>0.33225000000000005</v>
      </c>
      <c r="CD13" s="30">
        <v>8.8730885351607096</v>
      </c>
      <c r="CE13" s="30">
        <v>14.626743789027767</v>
      </c>
      <c r="CF13" s="30">
        <v>0.039750000000000001</v>
      </c>
      <c r="CG13" s="30">
        <v>3.122675461032749</v>
      </c>
      <c r="CH13" s="30">
        <v>0.23549999999999999</v>
      </c>
      <c r="CI13" s="30">
        <v>0.11700000000000002</v>
      </c>
      <c r="CJ13" s="30">
        <v>0.378</v>
      </c>
      <c r="CK13" s="30">
        <v>38.423689745178677</v>
      </c>
      <c r="CL13" s="30">
        <v>19.353266482639476</v>
      </c>
      <c r="CM13" s="30">
        <v>61.57631025482133</v>
      </c>
      <c r="CN13" s="30">
        <v>-1.4878241522339817</v>
      </c>
      <c r="CO13" s="30">
        <v>-1.4352707055525744</v>
      </c>
      <c r="CP13" s="30">
        <v>0.1193758478068799</v>
      </c>
      <c r="CQ13" s="31">
        <v>0.75</v>
      </c>
      <c r="CR13" s="30">
        <v>1.5602499999999999</v>
      </c>
      <c r="CS13" s="30">
        <v>1.119</v>
      </c>
      <c r="CT13" s="30">
        <v>0.44125000000000003</v>
      </c>
      <c r="CU13" s="30">
        <v>17.372224511529879</v>
      </c>
      <c r="CV13" s="30">
        <v>19.430502175276324</v>
      </c>
      <c r="CW13" s="30">
        <v>0.041749999999999995</v>
      </c>
      <c r="CX13" s="30">
        <v>4.0606565125663607</v>
      </c>
      <c r="CY13" s="30">
        <v>0.67200000000000004</v>
      </c>
      <c r="CZ13" s="30">
        <v>0.15900000000000003</v>
      </c>
      <c r="DA13" s="30">
        <v>0.44700000000000006</v>
      </c>
      <c r="DB13" s="30">
        <v>52.060114144492175</v>
      </c>
      <c r="DC13" s="30">
        <v>13.69112441324533</v>
      </c>
      <c r="DD13" s="30">
        <v>47.939885855507832</v>
      </c>
      <c r="DE13" s="30">
        <v>-1.6439163367153244</v>
      </c>
      <c r="DF13" s="30">
        <v>-1.7182466827762561</v>
      </c>
      <c r="DG13" s="30">
        <v>0.14409152832534516</v>
      </c>
      <c r="DH13" s="30">
        <v>1</v>
      </c>
      <c r="DI13" s="30">
        <v>1.62425</v>
      </c>
      <c r="DJ13" s="30">
        <v>1.0995000000000001</v>
      </c>
      <c r="DK13" s="30">
        <v>0.52475000000000005</v>
      </c>
      <c r="DL13" s="30">
        <v>8.8701791118699944</v>
      </c>
      <c r="DM13" s="30">
        <v>8.7218571003221026</v>
      </c>
      <c r="DN13" s="30">
        <v>0.049749999999999996</v>
      </c>
      <c r="DO13" s="30">
        <v>5.0943315824125168</v>
      </c>
      <c r="DP13" s="30">
        <v>0.35099999999999998</v>
      </c>
      <c r="DQ13" s="30">
        <v>0.19650000000000001</v>
      </c>
      <c r="DR13" s="30">
        <v>0.74850000000000005</v>
      </c>
      <c r="DS13" s="30">
        <v>30.981259249813501</v>
      </c>
      <c r="DT13" s="30">
        <v>17.499328821436819</v>
      </c>
      <c r="DU13" s="30">
        <v>69.018740750186495</v>
      </c>
      <c r="DV13" s="30">
        <v>-1.4738069606940223</v>
      </c>
      <c r="DW13" s="30">
        <v>-1.4956652085330031</v>
      </c>
      <c r="DX13" s="30">
        <v>0.13380522872576267</v>
      </c>
      <c r="DY13" s="30">
        <v>1.25</v>
      </c>
      <c r="DZ13" s="30">
        <v>1.6179999999999997</v>
      </c>
      <c r="EA13" s="30">
        <v>1.0230000000000001</v>
      </c>
      <c r="EB13" s="30">
        <v>0.59500000000000008</v>
      </c>
      <c r="EC13" s="30">
        <v>16.491165945406756</v>
      </c>
      <c r="ED13" s="30">
        <v>16.217754801710953</v>
      </c>
      <c r="EE13" s="30">
        <v>0.053000000000000005</v>
      </c>
      <c r="EF13" s="30">
        <v>0.39600000000000007</v>
      </c>
      <c r="EG13" s="30">
        <v>0.30600000000000005</v>
      </c>
      <c r="EH13" s="30">
        <v>0.627</v>
      </c>
      <c r="EI13" s="30">
        <v>39.234284131819436</v>
      </c>
      <c r="EJ13" s="30">
        <v>30.381127111603433</v>
      </c>
      <c r="EK13" s="30">
        <v>60.765715868180564</v>
      </c>
      <c r="EL13" s="30">
        <v>-1.5476741933286029</v>
      </c>
      <c r="EM13" s="30">
        <v>-1.5222571995183631</v>
      </c>
      <c r="EN13" s="30">
        <v>0.1140425381788696</v>
      </c>
      <c r="EO13" s="30">
        <v>0.5</v>
      </c>
    </row>
    <row r="14" ht="14.25">
      <c r="A14" s="42" t="s">
        <v>138</v>
      </c>
      <c r="B14" s="56">
        <v>2</v>
      </c>
      <c r="C14" s="57">
        <v>6.0899999999999999</v>
      </c>
      <c r="D14" s="30">
        <v>0.873</v>
      </c>
      <c r="E14" s="30">
        <v>1.2684</v>
      </c>
      <c r="F14" s="30">
        <v>2.2698</v>
      </c>
      <c r="G14" s="30">
        <v>0.12840000000000001</v>
      </c>
      <c r="H14" s="30">
        <v>10.68207462683613</v>
      </c>
      <c r="I14" s="30">
        <v>18.092060821602999</v>
      </c>
      <c r="J14" s="30">
        <v>0.42300000000000004</v>
      </c>
      <c r="K14" s="30">
        <v>49.232613628178527</v>
      </c>
      <c r="L14" s="30">
        <f>J14/F14</f>
        <v>0.18636003172085647</v>
      </c>
      <c r="M14" s="30">
        <v>-1.5532683359633814</v>
      </c>
      <c r="N14" s="31">
        <v>0.14422776074197569</v>
      </c>
      <c r="O14" s="30">
        <v>0.84600000000000009</v>
      </c>
      <c r="P14" s="30">
        <v>1.1226</v>
      </c>
      <c r="Q14" s="30">
        <v>2.0705999999999998</v>
      </c>
      <c r="R14" s="30">
        <v>0.10200000000000002</v>
      </c>
      <c r="S14" s="30">
        <v>10.630253103235171</v>
      </c>
      <c r="T14" s="30">
        <v>18.597981443424089</v>
      </c>
      <c r="U14" s="30">
        <v>0.42720000000000002</v>
      </c>
      <c r="V14" s="30">
        <v>49.708368426525709</v>
      </c>
      <c r="W14" s="30">
        <f>U14/Q14</f>
        <v>0.2063170095624457</v>
      </c>
      <c r="X14" s="30">
        <v>-1.5341296874576815</v>
      </c>
      <c r="Y14" s="31">
        <v>0.11706143736402948</v>
      </c>
      <c r="Z14" s="32">
        <f>F14-Q14</f>
        <v>0.19920000000000027</v>
      </c>
      <c r="AA14" s="30">
        <v>2.4937499999999999</v>
      </c>
      <c r="AB14" s="30">
        <v>5.0317499999999997</v>
      </c>
      <c r="AC14" s="30">
        <v>0.063750000000000001</v>
      </c>
      <c r="AD14" s="30">
        <v>1.39575</v>
      </c>
      <c r="AE14" s="30">
        <v>1.0980000000000001</v>
      </c>
      <c r="AF14" s="30">
        <v>10.97531355985496</v>
      </c>
      <c r="AG14" s="30">
        <f>AF14/AA14</f>
        <v>4.4011282445533677</v>
      </c>
      <c r="AH14" s="30">
        <v>-2.1699687367428715</v>
      </c>
      <c r="AI14" s="44">
        <f>(AE14/AA14)*100</f>
        <v>44.030075187969928</v>
      </c>
      <c r="AJ14" s="30">
        <v>2.8128000000000002</v>
      </c>
      <c r="AK14" s="30">
        <v>5.0891999999999999</v>
      </c>
      <c r="AL14" s="30">
        <v>0.051000000000000004</v>
      </c>
      <c r="AM14" s="30">
        <v>1.6938000000000002</v>
      </c>
      <c r="AN14" s="30">
        <v>1.119</v>
      </c>
      <c r="AO14" s="30">
        <v>11.778211148622692</v>
      </c>
      <c r="AP14" s="30">
        <f>AN14/AJ14</f>
        <v>0.39782423208191126</v>
      </c>
      <c r="AQ14" s="30">
        <v>-2.4061185680747323</v>
      </c>
      <c r="AR14" s="45">
        <f>(AN14/AJ14)*100</f>
        <v>39.782423208191126</v>
      </c>
      <c r="AS14" s="46">
        <f>AJ14-AA14</f>
        <v>0.31905000000000028</v>
      </c>
      <c r="AT14" s="30">
        <f>AN14-AE14</f>
        <v>0.020999999999999908</v>
      </c>
      <c r="AU14" s="30">
        <v>4.1673986601191269</v>
      </c>
      <c r="AV14" s="30">
        <v>0.015848425434981134</v>
      </c>
      <c r="AW14" s="30">
        <v>0.0008763231695010365</v>
      </c>
      <c r="AX14" s="31">
        <v>0.0008787229605735677</v>
      </c>
      <c r="AY14" s="30">
        <v>4.9119999999999999</v>
      </c>
      <c r="AZ14" s="30">
        <v>2.7200000000000002</v>
      </c>
      <c r="BA14" s="30">
        <v>9.7846376324947393</v>
      </c>
      <c r="BB14" s="30">
        <v>1.9919864887000691</v>
      </c>
      <c r="BC14" s="39">
        <v>-2.6945415957099144</v>
      </c>
      <c r="BD14" s="30">
        <v>4.6312000000000006</v>
      </c>
      <c r="BE14" s="30">
        <v>2.4432</v>
      </c>
      <c r="BF14" s="30">
        <v>18.875871215949878</v>
      </c>
      <c r="BG14" s="30">
        <v>4.13165596085509</v>
      </c>
      <c r="BH14" s="39">
        <v>-2.3257330577905995</v>
      </c>
      <c r="BI14" s="30">
        <v>3.2805</v>
      </c>
      <c r="BJ14" s="30">
        <v>1.7070000000000001</v>
      </c>
      <c r="BK14" s="30">
        <v>30.02156238975374</v>
      </c>
      <c r="BL14" s="30">
        <v>9.4391163261151121</v>
      </c>
      <c r="BM14" s="39">
        <v>-2.2665652494975168</v>
      </c>
      <c r="BN14" s="30">
        <v>4.2510000000000003</v>
      </c>
      <c r="BO14" s="30">
        <v>1.9470000000000003</v>
      </c>
      <c r="BP14" s="30">
        <v>40.273433921086152</v>
      </c>
      <c r="BQ14" s="30">
        <v>10.143049497725171</v>
      </c>
      <c r="BR14" s="39">
        <v>-2.3017506964710961</v>
      </c>
      <c r="BS14" s="30">
        <v>5.2380000000000004</v>
      </c>
      <c r="BT14" s="30">
        <v>2.379</v>
      </c>
      <c r="BU14" s="30">
        <v>48.876248204620005</v>
      </c>
      <c r="BV14" s="30">
        <v>9.5857826298556112</v>
      </c>
      <c r="BW14" s="39">
        <v>-2.3747320516756938</v>
      </c>
      <c r="BX14" s="49">
        <v>0.21022159575573035</v>
      </c>
      <c r="BY14" s="49">
        <v>0.82925327198541177</v>
      </c>
      <c r="BZ14" s="49">
        <v>0.30347961562305092</v>
      </c>
      <c r="CA14" s="30">
        <v>1.4510000000000001</v>
      </c>
      <c r="CB14" s="30">
        <v>1.131</v>
      </c>
      <c r="CC14" s="30">
        <v>0.32000000000000001</v>
      </c>
      <c r="CD14" s="30">
        <v>8.7574329916335305</v>
      </c>
      <c r="CE14" s="30">
        <v>7.9500044355327999</v>
      </c>
      <c r="CF14" s="30">
        <v>0.049000000000000002</v>
      </c>
      <c r="CG14" s="30">
        <v>3.1162204451815669</v>
      </c>
      <c r="CH14" s="30">
        <v>0.74550000000000005</v>
      </c>
      <c r="CI14" s="30">
        <v>0.62400000000000011</v>
      </c>
      <c r="CJ14" s="30">
        <v>0.38549999999999995</v>
      </c>
      <c r="CK14" s="30">
        <v>64.286778143792304</v>
      </c>
      <c r="CL14" s="30">
        <v>53.670260357989513</v>
      </c>
      <c r="CM14" s="30">
        <v>35.713221856207703</v>
      </c>
      <c r="CN14" s="30">
        <v>-1.6527453618493593</v>
      </c>
      <c r="CO14" s="30">
        <v>-1.8110259983449275</v>
      </c>
      <c r="CP14" s="30">
        <v>0.054902305721418604</v>
      </c>
      <c r="CQ14" s="31">
        <v>0.5</v>
      </c>
      <c r="CR14" s="30">
        <v>1.8422499999999999</v>
      </c>
      <c r="CS14" s="30">
        <v>1.2690000000000001</v>
      </c>
      <c r="CT14" s="30">
        <v>0.57325000000000004</v>
      </c>
      <c r="CU14" s="30">
        <v>17.010014456658261</v>
      </c>
      <c r="CV14" s="30">
        <v>13.76498983761687</v>
      </c>
      <c r="CW14" s="30">
        <v>0.053750000000000006</v>
      </c>
      <c r="CX14" s="30">
        <v>4.0837303329081225</v>
      </c>
      <c r="CY14" s="30">
        <v>0.82200000000000006</v>
      </c>
      <c r="CZ14" s="30">
        <v>0.47250000000000003</v>
      </c>
      <c r="DA14" s="30">
        <v>0.44699999999999995</v>
      </c>
      <c r="DB14" s="30">
        <v>64.133864339174323</v>
      </c>
      <c r="DC14" s="30">
        <v>35.577789126916464</v>
      </c>
      <c r="DD14" s="30">
        <v>35.866135660825684</v>
      </c>
      <c r="DE14" s="30">
        <v>-1.510474362340934</v>
      </c>
      <c r="DF14" s="30">
        <v>-1.6873586183377411</v>
      </c>
      <c r="DG14" s="30">
        <v>0.13078759312370122</v>
      </c>
      <c r="DH14" s="30">
        <v>0</v>
      </c>
      <c r="DI14" s="30">
        <v>1.6187500000000004</v>
      </c>
      <c r="DJ14" s="30">
        <v>1.266</v>
      </c>
      <c r="DK14" s="30">
        <v>0.40975</v>
      </c>
      <c r="DL14" s="30">
        <v>9.0256608286549191</v>
      </c>
      <c r="DM14" s="30">
        <v>7.1292739562835061</v>
      </c>
      <c r="DN14" s="30">
        <v>0.052250000000000005</v>
      </c>
      <c r="DO14" s="30">
        <v>5.1741828894910915</v>
      </c>
      <c r="DP14" s="30">
        <v>0.51000000000000001</v>
      </c>
      <c r="DQ14" s="30">
        <v>0.42300000000000004</v>
      </c>
      <c r="DR14" s="30">
        <v>0.79200000000000004</v>
      </c>
      <c r="DS14" s="30">
        <v>41.931769637086433</v>
      </c>
      <c r="DT14" s="30">
        <v>34.656147752223148</v>
      </c>
      <c r="DU14" s="30">
        <v>58.068230362913553</v>
      </c>
      <c r="DV14" s="30">
        <v>-1.6439227009239439</v>
      </c>
      <c r="DW14" s="30">
        <v>-1.6480710602262991</v>
      </c>
      <c r="DX14" s="30">
        <v>0.10435808874280521</v>
      </c>
      <c r="DY14" s="30">
        <v>1.25</v>
      </c>
      <c r="DZ14" s="30">
        <v>2.27725</v>
      </c>
      <c r="EA14" s="30">
        <v>1.5915000000000001</v>
      </c>
      <c r="EB14" s="30">
        <v>0.68575000000000008</v>
      </c>
      <c r="EC14" s="30">
        <v>16.740310945472295</v>
      </c>
      <c r="ED14" s="30">
        <v>11.372226128208119</v>
      </c>
      <c r="EE14" s="30">
        <v>0.040249999999999994</v>
      </c>
      <c r="EF14" s="30">
        <v>0.82350000000000012</v>
      </c>
      <c r="EG14" s="30">
        <v>0.60750000000000004</v>
      </c>
      <c r="EH14" s="30">
        <v>0.76800000000000002</v>
      </c>
      <c r="EI14" s="30">
        <v>53.019011007017511</v>
      </c>
      <c r="EJ14" s="30">
        <v>35.429707163882362</v>
      </c>
      <c r="EK14" s="30">
        <v>46.980988992982489</v>
      </c>
      <c r="EL14" s="30">
        <v>-1.541265671420472</v>
      </c>
      <c r="EM14" s="30">
        <v>-1.6837370356336741</v>
      </c>
      <c r="EN14" s="30">
        <v>0.15315051564980992</v>
      </c>
      <c r="EO14" s="30">
        <v>1.75</v>
      </c>
    </row>
    <row r="15" ht="14.25">
      <c r="A15" s="42" t="s">
        <v>139</v>
      </c>
      <c r="B15" s="43">
        <v>2</v>
      </c>
      <c r="C15" s="42">
        <v>6.0999999999999996</v>
      </c>
      <c r="D15" s="30">
        <v>0.80466666666666675</v>
      </c>
      <c r="E15" s="30">
        <v>1.4453333333333331</v>
      </c>
      <c r="F15" s="30">
        <v>2.2840000000000003</v>
      </c>
      <c r="G15" s="30">
        <v>0.034000000000000002</v>
      </c>
      <c r="H15" s="30">
        <v>10.49477485930478</v>
      </c>
      <c r="I15" s="30">
        <v>17.838096663575858</v>
      </c>
      <c r="J15" s="30">
        <v>0.39933333333333337</v>
      </c>
      <c r="K15" s="30">
        <v>50.678764245863462</v>
      </c>
      <c r="L15" s="30">
        <f>J15/F15</f>
        <v>0.17483946293053124</v>
      </c>
      <c r="M15" s="30">
        <v>-1.4475014363154191</v>
      </c>
      <c r="N15" s="31">
        <v>0.11129294224054664</v>
      </c>
      <c r="O15" s="30">
        <v>1.0908000000000002</v>
      </c>
      <c r="P15" s="30">
        <v>1.2570000000000001</v>
      </c>
      <c r="Q15" s="30">
        <v>2.3765999999999998</v>
      </c>
      <c r="R15" s="30">
        <v>0.028800000000000003</v>
      </c>
      <c r="S15" s="30">
        <v>10.591366638588951</v>
      </c>
      <c r="T15" s="30">
        <v>17.165815606907984</v>
      </c>
      <c r="U15" s="30">
        <v>0.54720000000000002</v>
      </c>
      <c r="V15" s="30">
        <v>53.475350733355562</v>
      </c>
      <c r="W15" s="30">
        <f>U15/Q15</f>
        <v>0.23024488765463269</v>
      </c>
      <c r="X15" s="30">
        <v>-1.5235463672213083</v>
      </c>
      <c r="Y15" s="31">
        <v>0.14481620381520777</v>
      </c>
      <c r="Z15" s="50">
        <f>F15-Q15</f>
        <v>-0.092599999999999572</v>
      </c>
      <c r="AA15" s="30">
        <v>3.2126666666666668</v>
      </c>
      <c r="AB15" s="30">
        <v>6.8015555555555567</v>
      </c>
      <c r="AC15" s="30">
        <v>0.02377777777777778</v>
      </c>
      <c r="AD15" s="30">
        <v>1.6751111111111112</v>
      </c>
      <c r="AE15" s="30">
        <v>1.5375555555555556</v>
      </c>
      <c r="AF15" s="30">
        <v>11.751606522739216</v>
      </c>
      <c r="AG15" s="30">
        <f>AF15/AA15</f>
        <v>3.6578978593294922</v>
      </c>
      <c r="AH15" s="30">
        <v>-2.3927993308615063</v>
      </c>
      <c r="AI15" s="44">
        <f>(AE15/AA15)*100</f>
        <v>47.859168568859374</v>
      </c>
      <c r="AJ15" s="30">
        <v>3.3252000000000002</v>
      </c>
      <c r="AK15" s="30">
        <v>5.4923999999999999</v>
      </c>
      <c r="AL15" s="30">
        <v>0.0264</v>
      </c>
      <c r="AM15" s="30">
        <v>1.8516000000000006</v>
      </c>
      <c r="AN15" s="30">
        <v>1.4736</v>
      </c>
      <c r="AO15" s="30">
        <v>11.845657919089319</v>
      </c>
      <c r="AP15" s="30">
        <f>AN15/AJ15</f>
        <v>0.44316131360519667</v>
      </c>
      <c r="AQ15" s="30">
        <v>-2.4238884215403247</v>
      </c>
      <c r="AR15" s="45">
        <f>(AN15/AJ15)*100</f>
        <v>44.31613136051967</v>
      </c>
      <c r="AS15" s="46">
        <f>AJ15-AA15</f>
        <v>0.11253333333333337</v>
      </c>
      <c r="AT15" s="30">
        <f>AN15-AE15</f>
        <v>-0.063955555555555543</v>
      </c>
      <c r="AU15" s="30">
        <v>9.3315193303515649</v>
      </c>
      <c r="AV15" s="30">
        <v>-0.13098877246706175</v>
      </c>
      <c r="AW15" s="30">
        <v>0.010381779881627806</v>
      </c>
      <c r="AX15" s="31">
        <v>0.010441519002125681</v>
      </c>
      <c r="AY15" s="30">
        <v>8.4288000000000007</v>
      </c>
      <c r="AZ15" s="30">
        <v>4.1312000000000006</v>
      </c>
      <c r="BA15" s="30">
        <v>9.715361503577439</v>
      </c>
      <c r="BB15" s="30">
        <v>1.2798639016049198</v>
      </c>
      <c r="BC15" s="39">
        <v>-3.2360684750244948</v>
      </c>
      <c r="BD15" s="30">
        <v>2.5388000000000002</v>
      </c>
      <c r="BE15" s="30">
        <v>1.2548000000000001</v>
      </c>
      <c r="BF15" s="30">
        <v>20.121142876406836</v>
      </c>
      <c r="BG15" s="30">
        <v>11.279137699533091</v>
      </c>
      <c r="BH15" s="39">
        <v>-2.3754818644416633</v>
      </c>
      <c r="BI15" s="30">
        <v>6.1356000000000011</v>
      </c>
      <c r="BJ15" s="30">
        <v>2.7396000000000003</v>
      </c>
      <c r="BK15" s="30">
        <v>30.300266192160585</v>
      </c>
      <c r="BL15" s="30">
        <v>6.146625723201292</v>
      </c>
      <c r="BM15" s="39">
        <v>-2.4405348412759018</v>
      </c>
      <c r="BN15" s="30">
        <v>8.8596000000000004</v>
      </c>
      <c r="BO15" s="30">
        <v>4.7172000000000001</v>
      </c>
      <c r="BP15" s="30">
        <v>38.503234569814389</v>
      </c>
      <c r="BQ15" s="30">
        <v>6.8737963607597212</v>
      </c>
      <c r="BR15" s="39">
        <v>-2.614490250349939</v>
      </c>
      <c r="BS15" s="30">
        <v>4.6500000000000004</v>
      </c>
      <c r="BT15" s="30">
        <v>2.3796000000000004</v>
      </c>
      <c r="BU15" s="30">
        <v>48.143615510596611</v>
      </c>
      <c r="BV15" s="30">
        <v>12.010342993667214</v>
      </c>
      <c r="BW15" s="39">
        <v>-2.2418020141031336</v>
      </c>
      <c r="BX15" s="30">
        <v>0.42788353989488587</v>
      </c>
      <c r="BY15" s="30">
        <v>0.28164882635876698</v>
      </c>
      <c r="BZ15" s="30">
        <v>0.32760665023928437</v>
      </c>
      <c r="CA15" s="30">
        <v>1.1755000000000002</v>
      </c>
      <c r="CB15" s="30">
        <v>0.93149999999999999</v>
      </c>
      <c r="CC15" s="30">
        <v>0.24399999999999999</v>
      </c>
      <c r="CD15" s="30">
        <v>8.5771078265563432</v>
      </c>
      <c r="CE15" s="30">
        <v>9.2541875541048331</v>
      </c>
      <c r="CF15" s="30">
        <v>0.032000000000000001</v>
      </c>
      <c r="CG15" s="30">
        <v>3.0828804807501848</v>
      </c>
      <c r="CH15" s="30">
        <v>0.47250000000000003</v>
      </c>
      <c r="CI15" s="30">
        <v>0.246</v>
      </c>
      <c r="CJ15" s="30">
        <v>0.45900000000000007</v>
      </c>
      <c r="CK15" s="30">
        <v>50.055524256447164</v>
      </c>
      <c r="CL15" s="30">
        <v>26.652599707561393</v>
      </c>
      <c r="CM15" s="30">
        <v>49.944475743552836</v>
      </c>
      <c r="CN15" s="30">
        <v>-1.5880716618448965</v>
      </c>
      <c r="CO15" s="30">
        <v>-1.6900784099528949</v>
      </c>
      <c r="CP15" s="30">
        <v>0.080499769560764683</v>
      </c>
      <c r="CQ15" s="31">
        <v>0.5</v>
      </c>
      <c r="CR15" s="30">
        <v>2.6675000000000004</v>
      </c>
      <c r="CS15" s="30">
        <v>2.1840000000000002</v>
      </c>
      <c r="CT15" s="30">
        <v>0.4835000000000001</v>
      </c>
      <c r="CU15" s="30">
        <v>16.643555544830942</v>
      </c>
      <c r="CV15" s="30">
        <v>8.8712245583686027</v>
      </c>
      <c r="CW15" s="30">
        <v>0.033999999999999996</v>
      </c>
      <c r="CX15" s="30">
        <v>4.0470847474643152</v>
      </c>
      <c r="CY15" s="30">
        <v>0.62400000000000011</v>
      </c>
      <c r="CZ15" s="30">
        <v>0.15900000000000003</v>
      </c>
      <c r="DA15" s="30">
        <v>1.5600000000000003</v>
      </c>
      <c r="DB15" s="30">
        <v>27.636950363561574</v>
      </c>
      <c r="DC15" s="30">
        <v>8.65467052246618</v>
      </c>
      <c r="DD15" s="30">
        <v>72.363049636438433</v>
      </c>
      <c r="DE15" s="30">
        <v>-1.9711843729044509</v>
      </c>
      <c r="DF15" s="30">
        <v>-1.7724104344626226</v>
      </c>
      <c r="DG15" s="30">
        <v>0.14793780244313434</v>
      </c>
      <c r="DH15" s="30">
        <v>3.25</v>
      </c>
      <c r="DI15" s="30">
        <v>2.4092500000000006</v>
      </c>
      <c r="DJ15" s="30">
        <v>2.3640000000000003</v>
      </c>
      <c r="DK15" s="30">
        <v>0.26575000000000004</v>
      </c>
      <c r="DL15" s="30">
        <v>8.8200547120734374</v>
      </c>
      <c r="DM15" s="30">
        <v>4.4601900688633203</v>
      </c>
      <c r="DN15" s="30">
        <v>0.047750000000000001</v>
      </c>
      <c r="DO15" s="30">
        <v>5.1173961200226161</v>
      </c>
      <c r="DP15" s="30">
        <v>0.99450000000000005</v>
      </c>
      <c r="DQ15" s="30">
        <v>0.73650000000000004</v>
      </c>
      <c r="DR15" s="30">
        <v>1.3140000000000001</v>
      </c>
      <c r="DS15" s="30">
        <v>41.602350829929613</v>
      </c>
      <c r="DT15" s="30">
        <v>25.551685527651916</v>
      </c>
      <c r="DU15" s="30">
        <v>58.39764917007038</v>
      </c>
      <c r="DV15" s="30">
        <v>-1.9093902567428547</v>
      </c>
      <c r="DW15" s="30">
        <v>-1.8802027478075813</v>
      </c>
      <c r="DX15" s="30">
        <v>0.17384919262201287</v>
      </c>
      <c r="DY15" s="30">
        <v>2.5</v>
      </c>
      <c r="DZ15" s="30">
        <v>2.7085000000000004</v>
      </c>
      <c r="EA15" s="30">
        <v>2.1254999999999997</v>
      </c>
      <c r="EB15" s="30">
        <v>0.58300000000000007</v>
      </c>
      <c r="EC15" s="30">
        <v>16.858483358954778</v>
      </c>
      <c r="ED15" s="30">
        <v>8.4649152491700299</v>
      </c>
      <c r="EE15" s="30">
        <v>0.071000000000000008</v>
      </c>
      <c r="EF15" s="30">
        <v>1.1355</v>
      </c>
      <c r="EG15" s="30">
        <v>0.35250000000000004</v>
      </c>
      <c r="EH15" s="30">
        <v>0.98999999999999999</v>
      </c>
      <c r="EI15" s="30">
        <v>48.899613901087264</v>
      </c>
      <c r="EJ15" s="30">
        <v>17.165516848672148</v>
      </c>
      <c r="EK15" s="30">
        <v>51.100386098912743</v>
      </c>
      <c r="EL15" s="30">
        <v>-1.8268224154033867</v>
      </c>
      <c r="EM15" s="30">
        <v>-1.9139024460907375</v>
      </c>
      <c r="EN15" s="30">
        <v>0.19414433851894936</v>
      </c>
      <c r="EO15" s="30">
        <v>1.75</v>
      </c>
    </row>
    <row r="16" ht="14.25">
      <c r="A16" s="42" t="s">
        <v>138</v>
      </c>
      <c r="B16" s="52">
        <v>1</v>
      </c>
      <c r="C16" s="58">
        <v>6.0999999999999996</v>
      </c>
      <c r="D16" s="30">
        <v>0.9946666666666667</v>
      </c>
      <c r="E16" s="30">
        <v>1.3373333333333333</v>
      </c>
      <c r="F16" s="30">
        <v>2.5966666666666667</v>
      </c>
      <c r="G16" s="30">
        <v>0.26466666666666666</v>
      </c>
      <c r="H16" s="30">
        <v>10.473683183291918</v>
      </c>
      <c r="I16" s="30">
        <v>17.513669009826422</v>
      </c>
      <c r="J16" s="30">
        <v>0.56266666666666676</v>
      </c>
      <c r="K16" s="30">
        <v>55.795724524041709</v>
      </c>
      <c r="L16" s="30">
        <f>J16/F16</f>
        <v>0.21668806161745832</v>
      </c>
      <c r="M16" s="30">
        <v>-1.5710409533051026</v>
      </c>
      <c r="N16" s="31">
        <v>0.19363612962775503</v>
      </c>
      <c r="O16" s="30">
        <v>0.87824999999999998</v>
      </c>
      <c r="P16" s="30">
        <v>0.87975000000000003</v>
      </c>
      <c r="Q16" s="30">
        <v>1.7947500000000003</v>
      </c>
      <c r="R16" s="30">
        <v>0.036750000000000005</v>
      </c>
      <c r="S16" s="30">
        <v>10.496341397651815</v>
      </c>
      <c r="T16" s="30">
        <v>17.515944388551823</v>
      </c>
      <c r="U16" s="30">
        <v>0.53850000000000009</v>
      </c>
      <c r="V16" s="30">
        <v>60.556669011655579</v>
      </c>
      <c r="W16" s="30">
        <f>U16/Q16</f>
        <v>0.30004178854993729</v>
      </c>
      <c r="X16" s="30">
        <v>-1.6330128238961612</v>
      </c>
      <c r="Y16" s="31">
        <v>0.15433882276630181</v>
      </c>
      <c r="Z16" s="32">
        <f>F16-Q16</f>
        <v>0.80191666666666639</v>
      </c>
      <c r="AA16" s="30">
        <v>1.4538000000000002</v>
      </c>
      <c r="AB16" s="30">
        <v>2.8752</v>
      </c>
      <c r="AC16" s="30">
        <v>0.016800000000000002</v>
      </c>
      <c r="AD16" s="30">
        <v>0.76560000000000017</v>
      </c>
      <c r="AE16" s="30">
        <v>0.68820000000000003</v>
      </c>
      <c r="AF16" s="30">
        <v>11.494026207030199</v>
      </c>
      <c r="AG16" s="30">
        <f>AF16/AA16</f>
        <v>7.906194942241159</v>
      </c>
      <c r="AH16" s="30">
        <v>-2.1096623608931266</v>
      </c>
      <c r="AI16" s="44">
        <f>(AE16/AA16)*100</f>
        <v>47.338010730499377</v>
      </c>
      <c r="AJ16" s="30">
        <v>1.4178000000000002</v>
      </c>
      <c r="AK16" s="30">
        <v>2.9682000000000004</v>
      </c>
      <c r="AL16" s="30">
        <v>0.024600000000000004</v>
      </c>
      <c r="AM16" s="30">
        <v>0.77700000000000002</v>
      </c>
      <c r="AN16" s="30">
        <v>0.64080000000000004</v>
      </c>
      <c r="AO16" s="30">
        <v>11.280097362069011</v>
      </c>
      <c r="AP16" s="30">
        <f>AN16/AJ16</f>
        <v>0.45196783749471009</v>
      </c>
      <c r="AQ16" s="30">
        <v>-1.9928643684664444</v>
      </c>
      <c r="AR16" s="45">
        <f>(AN16/AJ16)*100</f>
        <v>45.19678374947101</v>
      </c>
      <c r="AS16" s="46">
        <f>AJ16-AA16</f>
        <v>-0.036000000000000032</v>
      </c>
      <c r="AT16" s="30">
        <f>AN16-AE16</f>
        <v>-0.047399999999999998</v>
      </c>
      <c r="AU16" s="30">
        <v>2.0261819385507396</v>
      </c>
      <c r="AV16" s="30">
        <v>0.22147457135622764</v>
      </c>
      <c r="AW16" s="30">
        <v>0.10987653372465178</v>
      </c>
      <c r="AX16" s="31">
        <v>0.11071718237345272</v>
      </c>
      <c r="AY16" s="30">
        <v>4.1579999999999995</v>
      </c>
      <c r="AZ16" s="30">
        <v>1.8972000000000002</v>
      </c>
      <c r="BA16" s="30">
        <v>9.6735562272055819</v>
      </c>
      <c r="BB16" s="30">
        <v>2.4250521330508037</v>
      </c>
      <c r="BC16" s="39">
        <v>-2.4304900573343979</v>
      </c>
      <c r="BD16" s="30">
        <v>3.6084000000000005</v>
      </c>
      <c r="BE16" s="30">
        <v>1.4040000000000001</v>
      </c>
      <c r="BF16" s="30">
        <v>18.61082880730714</v>
      </c>
      <c r="BG16" s="30">
        <v>5.1831670084903436</v>
      </c>
      <c r="BH16" s="39">
        <v>-2.2935731019610825</v>
      </c>
      <c r="BI16" s="30">
        <v>2.2848000000000002</v>
      </c>
      <c r="BJ16" s="30">
        <v>1.0379999999999998</v>
      </c>
      <c r="BK16" s="30">
        <v>27.893713232801627</v>
      </c>
      <c r="BL16" s="30">
        <v>12.487138918828689</v>
      </c>
      <c r="BM16" s="39">
        <v>-2.1305902226140274</v>
      </c>
      <c r="BN16" s="30">
        <v>5.6279999999999992</v>
      </c>
      <c r="BO16" s="30">
        <v>2.3772000000000002</v>
      </c>
      <c r="BP16" s="30">
        <v>38.053096433248825</v>
      </c>
      <c r="BQ16" s="30">
        <v>6.8131324244137463</v>
      </c>
      <c r="BR16" s="39">
        <v>-2.2788452368836265</v>
      </c>
      <c r="BS16" s="30">
        <v>5.1084000000000005</v>
      </c>
      <c r="BT16" s="30">
        <v>2.4588000000000001</v>
      </c>
      <c r="BU16" s="30">
        <v>47.948000764822879</v>
      </c>
      <c r="BV16" s="30">
        <v>9.8165918203963969</v>
      </c>
      <c r="BW16" s="39">
        <v>-2.1981249867480699</v>
      </c>
      <c r="BX16" s="49">
        <v>0.23756964725965071</v>
      </c>
      <c r="BY16" s="49">
        <v>0.57498138119642472</v>
      </c>
      <c r="BZ16" s="49">
        <v>0.29661088398170554</v>
      </c>
      <c r="CA16" s="30">
        <v>1.339</v>
      </c>
      <c r="CB16" s="30">
        <v>0.91200000000000014</v>
      </c>
      <c r="CC16" s="30">
        <v>0.42700000000000005</v>
      </c>
      <c r="CD16" s="30">
        <v>8.7326513013154017</v>
      </c>
      <c r="CE16" s="30">
        <v>10.327210249428873</v>
      </c>
      <c r="CF16" s="30">
        <v>0.071000000000000008</v>
      </c>
      <c r="CG16" s="30">
        <v>3.1208848785425474</v>
      </c>
      <c r="CH16" s="30">
        <v>0.45899999999999996</v>
      </c>
      <c r="CI16" s="30">
        <v>0.10500000000000001</v>
      </c>
      <c r="CJ16" s="30">
        <v>0.45300000000000001</v>
      </c>
      <c r="CK16" s="30">
        <v>47.637047637191237</v>
      </c>
      <c r="CL16" s="30">
        <v>12.818011907227401</v>
      </c>
      <c r="CM16" s="30">
        <v>52.36295236280877</v>
      </c>
      <c r="CN16" s="30">
        <v>-1.7099157526691033</v>
      </c>
      <c r="CO16" s="30">
        <v>-1.666229892551194</v>
      </c>
      <c r="CP16" s="30">
        <v>0.090435101626907238</v>
      </c>
      <c r="CQ16" s="31">
        <v>0.5</v>
      </c>
      <c r="CR16" s="30">
        <v>1.6152500000000001</v>
      </c>
      <c r="CS16" s="30">
        <v>1.2285000000000001</v>
      </c>
      <c r="CT16" s="30">
        <v>0.38675000000000004</v>
      </c>
      <c r="CU16" s="30">
        <v>17.030202900444664</v>
      </c>
      <c r="CV16" s="30">
        <v>14.044596014834941</v>
      </c>
      <c r="CW16" s="30">
        <v>0.064750000000000002</v>
      </c>
      <c r="CX16" s="30">
        <v>4.084558993704662</v>
      </c>
      <c r="CY16" s="30">
        <v>0.44700000000000006</v>
      </c>
      <c r="CZ16" s="30">
        <v>0.16949999999999998</v>
      </c>
      <c r="DA16" s="30">
        <v>0.78150000000000008</v>
      </c>
      <c r="DB16" s="30">
        <v>36.196739044921721</v>
      </c>
      <c r="DC16" s="30">
        <v>13.230781082002466</v>
      </c>
      <c r="DD16" s="30">
        <v>63.803260955078272</v>
      </c>
      <c r="DE16" s="30">
        <v>-1.5890469619705838</v>
      </c>
      <c r="DF16" s="30">
        <v>-1.6336298592900562</v>
      </c>
      <c r="DG16" s="30">
        <v>0.14622664745701031</v>
      </c>
      <c r="DH16" s="30">
        <v>1.25</v>
      </c>
      <c r="DI16" s="30">
        <v>1.5785</v>
      </c>
      <c r="DJ16" s="30">
        <v>1.0170000000000001</v>
      </c>
      <c r="DK16" s="30">
        <v>0.56150000000000011</v>
      </c>
      <c r="DL16" s="30">
        <v>8.7696375798816391</v>
      </c>
      <c r="DM16" s="30">
        <v>9.0749307877779977</v>
      </c>
      <c r="DN16" s="30">
        <v>0.05800000000000001</v>
      </c>
      <c r="DO16" s="30">
        <v>5.1213388341980099</v>
      </c>
      <c r="DP16" s="30">
        <v>0.29999999999999999</v>
      </c>
      <c r="DQ16" s="30">
        <v>0.092999999999999999</v>
      </c>
      <c r="DR16" s="30">
        <v>0.71700000000000008</v>
      </c>
      <c r="DS16" s="30">
        <v>28.510482604937032</v>
      </c>
      <c r="DT16" s="30">
        <v>9.3804125403576535</v>
      </c>
      <c r="DU16" s="30">
        <v>71.489517395062961</v>
      </c>
      <c r="DV16" s="30">
        <v>-1.6313841505363489</v>
      </c>
      <c r="DW16" s="30">
        <v>-1.5822206734012909</v>
      </c>
      <c r="DX16" s="30">
        <v>0.11292316547794493</v>
      </c>
      <c r="DY16" s="30">
        <v>1</v>
      </c>
      <c r="DZ16" s="30">
        <v>2.1372499999999999</v>
      </c>
      <c r="EA16" s="30">
        <v>1.5255000000000001</v>
      </c>
      <c r="EB16" s="30">
        <v>0.61175000000000002</v>
      </c>
      <c r="EC16" s="30">
        <v>16.91557284440912</v>
      </c>
      <c r="ED16" s="30">
        <v>12.061065782847628</v>
      </c>
      <c r="EE16" s="30">
        <v>0.049750000000000003</v>
      </c>
      <c r="EF16" s="30">
        <v>0.6855</v>
      </c>
      <c r="EG16" s="30">
        <v>0.16500000000000001</v>
      </c>
      <c r="EH16" s="30">
        <v>0.84000000000000008</v>
      </c>
      <c r="EI16" s="30">
        <v>42.932933831215337</v>
      </c>
      <c r="EJ16" s="30">
        <v>11.119690269530986</v>
      </c>
      <c r="EK16" s="30">
        <v>57.067066168784649</v>
      </c>
      <c r="EL16" s="30">
        <v>-1.682056435021281</v>
      </c>
      <c r="EM16" s="30">
        <v>-1.8510424927763491</v>
      </c>
      <c r="EN16" s="30">
        <v>0.1039765714850871</v>
      </c>
      <c r="EO16" s="30">
        <v>2</v>
      </c>
    </row>
    <row r="17" ht="14.25">
      <c r="A17" s="42" t="s">
        <v>138</v>
      </c>
      <c r="B17" s="59">
        <v>2</v>
      </c>
      <c r="C17" s="60">
        <v>6.1100000000000003</v>
      </c>
      <c r="D17" s="30">
        <v>0.48514285714285715</v>
      </c>
      <c r="E17" s="30">
        <v>0.83828571428571441</v>
      </c>
      <c r="F17" s="30">
        <v>1.3320000000000001</v>
      </c>
      <c r="G17" s="30">
        <v>0.0085714285714285719</v>
      </c>
      <c r="H17" s="30">
        <v>10.454577861803189</v>
      </c>
      <c r="I17" s="30">
        <v>17.959060656119796</v>
      </c>
      <c r="J17" s="30">
        <v>0.24514285714285713</v>
      </c>
      <c r="K17" s="30">
        <v>50.593395351396353</v>
      </c>
      <c r="L17" s="30">
        <f>J17/F17</f>
        <v>0.18404118404118402</v>
      </c>
      <c r="M17" s="30">
        <v>-1.4161053476227488</v>
      </c>
      <c r="N17" s="31">
        <v>0.1138839062011705</v>
      </c>
      <c r="O17" s="30">
        <v>0.39240000000000003</v>
      </c>
      <c r="P17" s="30">
        <v>0.55680000000000007</v>
      </c>
      <c r="Q17" s="30">
        <v>0.96240000000000003</v>
      </c>
      <c r="R17" s="30">
        <v>0.0132</v>
      </c>
      <c r="S17" s="30">
        <v>10.344637755974826</v>
      </c>
      <c r="T17" s="30">
        <v>17.343454847395158</v>
      </c>
      <c r="U17" s="30">
        <v>0.19139999999999999</v>
      </c>
      <c r="V17" s="30">
        <v>48.761151197320928</v>
      </c>
      <c r="W17" s="30">
        <f>U17/Q17</f>
        <v>0.19887780548628428</v>
      </c>
      <c r="X17" s="30">
        <v>-1.4181082174338111</v>
      </c>
      <c r="Y17" s="31">
        <v>0.1012897559478689</v>
      </c>
      <c r="Z17" s="32">
        <f>F17-Q17</f>
        <v>0.36960000000000004</v>
      </c>
      <c r="AA17" s="30">
        <v>2.6976000000000004</v>
      </c>
      <c r="AB17" s="30">
        <v>5.2254000000000014</v>
      </c>
      <c r="AC17" s="30">
        <v>0.0126</v>
      </c>
      <c r="AD17" s="30">
        <v>1.53</v>
      </c>
      <c r="AE17" s="30">
        <v>1.1676000000000002</v>
      </c>
      <c r="AF17" s="30">
        <v>11.451549829467057</v>
      </c>
      <c r="AG17" s="30">
        <f>AF17/AA17</f>
        <v>4.2450881633552253</v>
      </c>
      <c r="AH17" s="30">
        <v>-2.2959360568048957</v>
      </c>
      <c r="AI17" s="44">
        <f>(AE17/AA17)*100</f>
        <v>43.282918149466191</v>
      </c>
      <c r="AJ17" s="30">
        <v>2.6568000000000005</v>
      </c>
      <c r="AK17" s="30">
        <v>4.5713999999999997</v>
      </c>
      <c r="AL17" s="30">
        <v>0.032400000000000005</v>
      </c>
      <c r="AM17" s="30">
        <v>1.4813999999999998</v>
      </c>
      <c r="AN17" s="30">
        <v>1.1754</v>
      </c>
      <c r="AO17" s="30">
        <v>11.506988957671322</v>
      </c>
      <c r="AP17" s="30">
        <f>AN17/AJ17</f>
        <v>0.44241192411924113</v>
      </c>
      <c r="AQ17" s="30">
        <v>-2.4318273578136478</v>
      </c>
      <c r="AR17" s="45">
        <f>(AN17/AJ17)*100</f>
        <v>44.241192411924111</v>
      </c>
      <c r="AS17" s="46">
        <f>AJ17-AA17</f>
        <v>-0.040799999999999947</v>
      </c>
      <c r="AT17" s="30">
        <f>AN17-AE17</f>
        <v>0.0077999999999998071</v>
      </c>
      <c r="AU17" s="30">
        <v>2.9251987349817785</v>
      </c>
      <c r="AV17" s="30">
        <v>0.078612671133929238</v>
      </c>
      <c r="AW17" s="30">
        <v>0.028603730734893529</v>
      </c>
      <c r="AX17" s="31">
        <v>0.028625075846265918</v>
      </c>
      <c r="AY17" s="30">
        <v>3.7723999999999998</v>
      </c>
      <c r="AZ17" s="30">
        <v>2.1444000000000001</v>
      </c>
      <c r="BA17" s="30">
        <v>9.8703246731008001</v>
      </c>
      <c r="BB17" s="30">
        <v>2.893900285181735</v>
      </c>
      <c r="BC17" s="39">
        <v>-2.2513813364252178</v>
      </c>
      <c r="BD17" s="30">
        <v>3.2292000000000001</v>
      </c>
      <c r="BE17" s="30">
        <v>1.5312000000000001</v>
      </c>
      <c r="BF17" s="30">
        <v>19.813254148852458</v>
      </c>
      <c r="BG17" s="30">
        <v>6.4861323110639333</v>
      </c>
      <c r="BH17" s="39">
        <v>-2.1049940424632063</v>
      </c>
      <c r="BI17" s="30">
        <v>3.7079999999999997</v>
      </c>
      <c r="BJ17" s="30">
        <v>1.8588</v>
      </c>
      <c r="BK17" s="30">
        <v>29.239094362844355</v>
      </c>
      <c r="BL17" s="30">
        <v>8.0546039986811415</v>
      </c>
      <c r="BM17" s="39">
        <v>-2.1004925006365363</v>
      </c>
      <c r="BN17" s="30">
        <v>4.173</v>
      </c>
      <c r="BO17" s="30">
        <v>2.1705000000000001</v>
      </c>
      <c r="BP17" s="30">
        <v>39.785978940219529</v>
      </c>
      <c r="BQ17" s="30">
        <v>9.7243359297694134</v>
      </c>
      <c r="BR17" s="39">
        <v>-2.2428572362480899</v>
      </c>
      <c r="BS17" s="30">
        <v>4.0620000000000003</v>
      </c>
      <c r="BT17" s="30">
        <v>1.9967999999999999</v>
      </c>
      <c r="BU17" s="30">
        <v>48.530242291820784</v>
      </c>
      <c r="BV17" s="30">
        <v>12.94167767991884</v>
      </c>
      <c r="BW17" s="39">
        <v>-2.2080261237914804</v>
      </c>
      <c r="BX17" s="49">
        <v>0.13364038864145569</v>
      </c>
      <c r="BY17" s="49">
        <v>0.4970343608375391</v>
      </c>
      <c r="BZ17" s="49">
        <v>0.50479481198791154</v>
      </c>
      <c r="CA17" s="30">
        <v>0.91650000000000009</v>
      </c>
      <c r="CB17" s="30">
        <v>0.46349999999999997</v>
      </c>
      <c r="CC17" s="30">
        <v>0.45300000000000012</v>
      </c>
      <c r="CD17" s="30">
        <v>8.9676655203434485</v>
      </c>
      <c r="CE17" s="30">
        <v>19.377204552266868</v>
      </c>
      <c r="CF17" s="30">
        <v>0.070500000000000007</v>
      </c>
      <c r="CG17" s="30">
        <v>3.1514698064450699</v>
      </c>
      <c r="CH17" s="30">
        <v>0.20700000000000002</v>
      </c>
      <c r="CI17" s="30">
        <v>0.076500000000000012</v>
      </c>
      <c r="CJ17" s="30">
        <v>0.25650000000000001</v>
      </c>
      <c r="CK17" s="30">
        <v>44.633847388126227</v>
      </c>
      <c r="CL17" s="30">
        <v>16.519655910144412</v>
      </c>
      <c r="CM17" s="30">
        <v>55.366152611873773</v>
      </c>
      <c r="CN17" s="30">
        <v>-1.4097424379233476</v>
      </c>
      <c r="CO17" s="30">
        <v>-1.428389588624742</v>
      </c>
      <c r="CP17" s="30">
        <v>0.19136970886889915</v>
      </c>
      <c r="CQ17" s="31">
        <v>0</v>
      </c>
      <c r="CR17" s="30">
        <v>1.1259999999999999</v>
      </c>
      <c r="CS17" s="30">
        <v>0.60150000000000003</v>
      </c>
      <c r="CT17" s="30">
        <v>0.52449999999999997</v>
      </c>
      <c r="CU17" s="30">
        <v>16.682857158411029</v>
      </c>
      <c r="CV17" s="30">
        <v>28.004952789862408</v>
      </c>
      <c r="CW17" s="30">
        <v>0.057500000000000009</v>
      </c>
      <c r="CX17" s="30">
        <v>4.0545233997319094</v>
      </c>
      <c r="CY17" s="30">
        <v>0.26700000000000002</v>
      </c>
      <c r="CZ17" s="30">
        <v>0.076500000000000012</v>
      </c>
      <c r="DA17" s="30">
        <v>0.33450000000000002</v>
      </c>
      <c r="DB17" s="30">
        <v>44.4665403685933</v>
      </c>
      <c r="DC17" s="30">
        <v>12.743352683727833</v>
      </c>
      <c r="DD17" s="30">
        <v>55.5334596314067</v>
      </c>
      <c r="DE17" s="30">
        <v>-1.4029266477899263</v>
      </c>
      <c r="DF17" s="30">
        <v>-1.5003846905497449</v>
      </c>
      <c r="DG17" s="30">
        <v>0.18713799835192535</v>
      </c>
      <c r="DH17" s="30">
        <v>0</v>
      </c>
      <c r="DI17" s="30">
        <v>0.99774999999999991</v>
      </c>
      <c r="DJ17" s="30">
        <v>0.53000000000000003</v>
      </c>
      <c r="DK17" s="30">
        <v>0.48475000000000001</v>
      </c>
      <c r="DL17" s="30">
        <v>8.8488101481744383</v>
      </c>
      <c r="DM17" s="30">
        <v>16.731014992294831</v>
      </c>
      <c r="DN17" s="30">
        <v>0.046249999999999999</v>
      </c>
      <c r="DO17" s="30">
        <v>5.1413059707753064</v>
      </c>
      <c r="DP17" s="30">
        <v>0.19500000000000001</v>
      </c>
      <c r="DQ17" s="30">
        <v>0.078000000000000014</v>
      </c>
      <c r="DR17" s="30">
        <v>0.33800000000000008</v>
      </c>
      <c r="DS17" s="30">
        <v>38.24870624516015</v>
      </c>
      <c r="DT17" s="30">
        <v>15.275031640279867</v>
      </c>
      <c r="DU17" s="30">
        <v>61.751293754839843</v>
      </c>
      <c r="DV17" s="30">
        <v>-1.4390804419140797</v>
      </c>
      <c r="DW17" s="30">
        <v>-1.4141057079875645</v>
      </c>
      <c r="DX17" s="30">
        <v>0.20671730738023944</v>
      </c>
      <c r="DY17" s="30">
        <v>0</v>
      </c>
      <c r="DZ17" s="30">
        <v>1.4075000000000002</v>
      </c>
      <c r="EA17" s="30">
        <v>0.72800000000000009</v>
      </c>
      <c r="EB17" s="30">
        <v>0.6845</v>
      </c>
      <c r="EC17" s="30">
        <v>16.807489496472837</v>
      </c>
      <c r="ED17" s="30">
        <v>23.151312462511196</v>
      </c>
      <c r="EE17" s="30">
        <v>0.041499999999999995</v>
      </c>
      <c r="EF17" s="30">
        <v>0.26100000000000001</v>
      </c>
      <c r="EG17" s="30">
        <v>0.076499999999999999</v>
      </c>
      <c r="EH17" s="30">
        <v>0.47999999999999998</v>
      </c>
      <c r="EI17" s="30">
        <v>36.110807078693682</v>
      </c>
      <c r="EJ17" s="30">
        <v>10.609708562190939</v>
      </c>
      <c r="EK17" s="30">
        <v>63.889192921306311</v>
      </c>
      <c r="EL17" s="30">
        <v>-1.4320199696377522</v>
      </c>
      <c r="EM17" s="30">
        <v>-1.4949055310720387</v>
      </c>
      <c r="EN17" s="30">
        <v>0.20419158821688849</v>
      </c>
      <c r="EO17" s="30">
        <v>0</v>
      </c>
    </row>
    <row r="18" ht="14.25">
      <c r="A18" s="43" t="s">
        <v>139</v>
      </c>
      <c r="B18" s="43">
        <v>1</v>
      </c>
      <c r="C18" s="55">
        <v>6.5</v>
      </c>
      <c r="D18" s="30">
        <v>1.6212</v>
      </c>
      <c r="E18" s="30">
        <v>1.6325999999999996</v>
      </c>
      <c r="F18" s="30">
        <v>3.9953999999999992</v>
      </c>
      <c r="G18" s="30">
        <v>0.74160000000000004</v>
      </c>
      <c r="H18" s="30">
        <v>10.342352327930721</v>
      </c>
      <c r="I18" s="30">
        <v>17.586921287543454</v>
      </c>
      <c r="J18" s="30">
        <v>0.87180000000000002</v>
      </c>
      <c r="K18" s="30">
        <v>54.46556973120137</v>
      </c>
      <c r="L18" s="30">
        <f>J18/F18</f>
        <v>0.21820093107073138</v>
      </c>
      <c r="M18" s="30">
        <v>-1.7400613182173053</v>
      </c>
      <c r="N18" s="31">
        <v>0.093271004621443054</v>
      </c>
      <c r="O18" s="30">
        <v>1.8719999999999999</v>
      </c>
      <c r="P18" s="30">
        <v>1.605</v>
      </c>
      <c r="Q18" s="30">
        <v>3.8298000000000001</v>
      </c>
      <c r="R18" s="30">
        <v>0.3528</v>
      </c>
      <c r="S18" s="30">
        <v>10.627538121414982</v>
      </c>
      <c r="T18" s="30">
        <v>17.183073368488582</v>
      </c>
      <c r="U18" s="30">
        <v>1.1741999999999999</v>
      </c>
      <c r="V18" s="30">
        <v>58.177943077659179</v>
      </c>
      <c r="W18" s="30">
        <f>U18/Q18</f>
        <v>0.30659564468118439</v>
      </c>
      <c r="X18" s="30">
        <v>-1.7808770878970026</v>
      </c>
      <c r="Y18" s="31">
        <v>0.11533569657322551</v>
      </c>
      <c r="Z18" s="32">
        <f>F18-Q18</f>
        <v>0.16559999999999908</v>
      </c>
      <c r="AA18" s="30">
        <v>4.5166666666666666</v>
      </c>
      <c r="AB18" s="30">
        <v>9.6440000000000001</v>
      </c>
      <c r="AC18" s="30">
        <v>0.2426666666666667</v>
      </c>
      <c r="AD18" s="30">
        <v>2.6164444444444444</v>
      </c>
      <c r="AE18" s="30">
        <v>1.9002222222222223</v>
      </c>
      <c r="AF18" s="30">
        <v>11.765706141769305</v>
      </c>
      <c r="AG18" s="30">
        <f>AF18/AA18</f>
        <v>2.6049533893216177</v>
      </c>
      <c r="AH18" s="30">
        <v>-2.5322256913294119</v>
      </c>
      <c r="AI18" s="44">
        <f>(AE18/AA18)*100</f>
        <v>42.071340713407132</v>
      </c>
      <c r="AJ18" s="30">
        <v>5.9055000000000009</v>
      </c>
      <c r="AK18" s="30">
        <v>10.861499999999999</v>
      </c>
      <c r="AL18" s="30">
        <v>0.033750000000000009</v>
      </c>
      <c r="AM18" s="30">
        <v>3.5632500000000005</v>
      </c>
      <c r="AN18" s="30">
        <v>2.3422499999999999</v>
      </c>
      <c r="AO18" s="30">
        <v>12.251505437245438</v>
      </c>
      <c r="AP18" s="30">
        <f>AN18/AJ18</f>
        <v>0.39662179324358643</v>
      </c>
      <c r="AQ18" s="30">
        <v>-2.6622795371684247</v>
      </c>
      <c r="AR18" s="45">
        <f>(AN18/AJ18)*100</f>
        <v>39.66217932435864</v>
      </c>
      <c r="AS18" s="46">
        <f>AJ18-AA18</f>
        <v>1.3888333333333343</v>
      </c>
      <c r="AT18" s="30">
        <f>AN18-AE18</f>
        <v>0.44202777777777769</v>
      </c>
      <c r="AU18" s="30">
        <v>2.8648413905748926</v>
      </c>
      <c r="AV18" s="30">
        <v>0.36184291421337555</v>
      </c>
      <c r="AW18" s="30">
        <v>0.52164527811131589</v>
      </c>
      <c r="AX18" s="31">
        <v>0.52171585734100645</v>
      </c>
      <c r="AY18" s="30">
        <v>6.6825000000000001</v>
      </c>
      <c r="AZ18" s="30">
        <v>3.4064999999999999</v>
      </c>
      <c r="BA18" s="30">
        <v>11.110158814371044</v>
      </c>
      <c r="BB18" s="30">
        <v>1.6915089038787792</v>
      </c>
      <c r="BC18" s="39">
        <v>-2.6063618484714621</v>
      </c>
      <c r="BD18" s="30">
        <v>9.6984000000000012</v>
      </c>
      <c r="BE18" s="30">
        <v>4.9572000000000003</v>
      </c>
      <c r="BF18" s="30">
        <v>21.227022100431835</v>
      </c>
      <c r="BG18" s="30">
        <v>2.2612713365523449</v>
      </c>
      <c r="BH18" s="39">
        <v>-2.6329514397135254</v>
      </c>
      <c r="BI18" s="30">
        <v>8.484</v>
      </c>
      <c r="BJ18" s="30">
        <v>3.8400000000000007</v>
      </c>
      <c r="BK18" s="30">
        <v>31.418572412247016</v>
      </c>
      <c r="BL18" s="30">
        <v>3.8042141743437732</v>
      </c>
      <c r="BM18" s="39">
        <v>-2.3805491552912121</v>
      </c>
      <c r="BN18" s="30">
        <v>11.336400000000001</v>
      </c>
      <c r="BO18" s="30">
        <v>5.6364000000000001</v>
      </c>
      <c r="BP18" s="30">
        <v>43.958129216363304</v>
      </c>
      <c r="BQ18" s="30">
        <v>3.9245184917064551</v>
      </c>
      <c r="BR18" s="39">
        <v>-2.3831495503301161</v>
      </c>
      <c r="BS18" s="30">
        <v>12.607200000000002</v>
      </c>
      <c r="BT18" s="30">
        <v>5.950800000000001</v>
      </c>
      <c r="BU18" s="30">
        <v>53.516061507727315</v>
      </c>
      <c r="BV18" s="30">
        <v>4.3325445512246379</v>
      </c>
      <c r="BW18" s="39">
        <v>-2.2569619666633352</v>
      </c>
      <c r="BX18" s="30">
        <v>1.0034407362465338</v>
      </c>
      <c r="BY18" s="30">
        <v>-0.62565624207714698</v>
      </c>
      <c r="BZ18" s="30">
        <v>0.37128566619295722</v>
      </c>
      <c r="CA18" s="30">
        <v>2.7857500000000002</v>
      </c>
      <c r="CB18" s="30">
        <v>2.6535000000000002</v>
      </c>
      <c r="CC18" s="30">
        <v>0.13225000000000003</v>
      </c>
      <c r="CD18" s="30">
        <v>8.6712112313279217</v>
      </c>
      <c r="CE18" s="30">
        <v>3.3442001495526754</v>
      </c>
      <c r="CF18" s="30">
        <v>0.065749999999999989</v>
      </c>
      <c r="CG18" s="30">
        <v>3.1066286528898361</v>
      </c>
      <c r="CH18" s="30">
        <v>2.0594999999999999</v>
      </c>
      <c r="CI18" s="30">
        <v>1.3754999999999999</v>
      </c>
      <c r="CJ18" s="30">
        <v>0.59400000000000031</v>
      </c>
      <c r="CK18" s="30">
        <v>78.842540660459974</v>
      </c>
      <c r="CL18" s="30">
        <v>52.536551193491732</v>
      </c>
      <c r="CM18" s="30">
        <v>21.157459339540019</v>
      </c>
      <c r="CN18" s="30">
        <v>-2.0058679499014764</v>
      </c>
      <c r="CO18" s="30">
        <v>-2.2201713795730154</v>
      </c>
      <c r="CP18" s="30">
        <v>0.083908873969969197</v>
      </c>
      <c r="CQ18" s="31">
        <v>1.5</v>
      </c>
      <c r="CR18" s="30">
        <v>3.5687500000000001</v>
      </c>
      <c r="CS18" s="30">
        <v>3.4770000000000003</v>
      </c>
      <c r="CT18" s="30">
        <v>0.091750000000000012</v>
      </c>
      <c r="CU18" s="30">
        <v>16.911990065370823</v>
      </c>
      <c r="CV18" s="30">
        <v>5.1730364352178704</v>
      </c>
      <c r="CW18" s="30">
        <v>0.02375</v>
      </c>
      <c r="CX18" s="30">
        <v>4.0571063303112282</v>
      </c>
      <c r="CY18" s="30">
        <v>2.3520000000000003</v>
      </c>
      <c r="CZ18" s="30">
        <v>1.2749999999999999</v>
      </c>
      <c r="DA18" s="30">
        <v>1.1250000000000004</v>
      </c>
      <c r="DB18" s="30">
        <v>66.990584298308477</v>
      </c>
      <c r="DC18" s="30">
        <v>34.309518917879743</v>
      </c>
      <c r="DD18" s="30">
        <v>33.009415701691537</v>
      </c>
      <c r="DE18" s="30">
        <v>-1.9441709286227464</v>
      </c>
      <c r="DF18" s="30">
        <v>-1.9788123045688308</v>
      </c>
      <c r="DG18" s="30">
        <v>0.41183038341201367</v>
      </c>
      <c r="DH18" s="30">
        <v>1</v>
      </c>
      <c r="DI18" s="30">
        <v>3.2697500000000006</v>
      </c>
      <c r="DJ18" s="30">
        <v>3.0930000000000004</v>
      </c>
      <c r="DK18" s="30">
        <v>0.17675000000000002</v>
      </c>
      <c r="DL18" s="30">
        <v>9.0131690544263066</v>
      </c>
      <c r="DM18" s="30">
        <v>2.94368166356836</v>
      </c>
      <c r="DN18" s="30">
        <v>0.045249999999999999</v>
      </c>
      <c r="DO18" s="30">
        <v>5.1509670085118504</v>
      </c>
      <c r="DP18" s="30">
        <v>1.7145000000000004</v>
      </c>
      <c r="DQ18" s="30">
        <v>0.65700000000000003</v>
      </c>
      <c r="DR18" s="30">
        <v>1.3785000000000001</v>
      </c>
      <c r="DS18" s="30">
        <v>55.310550215269508</v>
      </c>
      <c r="DT18" s="30">
        <v>21.351438847911769</v>
      </c>
      <c r="DU18" s="30">
        <v>44.689449784730492</v>
      </c>
      <c r="DV18" s="30">
        <v>-2.0340894741328412</v>
      </c>
      <c r="DW18" s="30">
        <v>-2.2830531462250274</v>
      </c>
      <c r="DX18" s="30">
        <v>0.12078195350083237</v>
      </c>
      <c r="DY18" s="30">
        <v>3</v>
      </c>
      <c r="DZ18" s="30">
        <v>6.3157500000000013</v>
      </c>
      <c r="EA18" s="30">
        <v>6.1845000000000008</v>
      </c>
      <c r="EB18" s="30">
        <v>0.13125000000000001</v>
      </c>
      <c r="EC18" s="30">
        <v>17.445969448173646</v>
      </c>
      <c r="ED18" s="30">
        <v>3.2153095738181294</v>
      </c>
      <c r="EE18" s="30">
        <v>0.059250000000000004</v>
      </c>
      <c r="EF18" s="30">
        <v>1.8734999999999999</v>
      </c>
      <c r="EG18" s="30">
        <v>2.754</v>
      </c>
      <c r="EH18" s="30">
        <v>4.3109999999999999</v>
      </c>
      <c r="EI18" s="30">
        <v>35.194603156067991</v>
      </c>
      <c r="EJ18" s="30">
        <v>32.086079437066864</v>
      </c>
      <c r="EK18" s="30">
        <v>64.805396843932016</v>
      </c>
      <c r="EL18" s="30">
        <v>-2.1302461764030864</v>
      </c>
      <c r="EM18" s="30">
        <v>-2.3327032904605591</v>
      </c>
      <c r="EN18" s="30">
        <v>0.25639993895750268</v>
      </c>
      <c r="EO18" s="30">
        <v>9</v>
      </c>
    </row>
    <row r="19" ht="14.25">
      <c r="A19" s="52" t="s">
        <v>138</v>
      </c>
      <c r="B19" s="52">
        <v>2</v>
      </c>
      <c r="C19" s="61">
        <v>7</v>
      </c>
      <c r="D19" s="30">
        <v>1.0785</v>
      </c>
      <c r="E19" s="30">
        <v>1.7805000000000002</v>
      </c>
      <c r="F19" s="30">
        <v>2.9384999999999999</v>
      </c>
      <c r="G19" s="30">
        <v>0.079500000000000015</v>
      </c>
      <c r="H19" s="30">
        <v>10.213487230405001</v>
      </c>
      <c r="I19" s="30">
        <v>17.312398861473518</v>
      </c>
      <c r="J19" s="30">
        <v>0.57150000000000001</v>
      </c>
      <c r="K19" s="30">
        <v>52.667644491773849</v>
      </c>
      <c r="L19" s="30">
        <f>J19/F19</f>
        <v>0.19448698315467075</v>
      </c>
      <c r="M19" s="30">
        <v>-1.539921517228239</v>
      </c>
      <c r="N19" s="31">
        <v>0.10310617123317006</v>
      </c>
      <c r="O19" s="30">
        <v>0.9870000000000001</v>
      </c>
      <c r="P19" s="30">
        <v>0.98600000000000021</v>
      </c>
      <c r="Q19" s="30">
        <v>2.0210000000000004</v>
      </c>
      <c r="R19" s="30">
        <v>0.048000000000000008</v>
      </c>
      <c r="S19" s="30">
        <v>10.657694636700386</v>
      </c>
      <c r="T19" s="30">
        <v>17.533132343581979</v>
      </c>
      <c r="U19" s="30">
        <v>0.44500000000000006</v>
      </c>
      <c r="V19" s="30">
        <v>45.079844220195696</v>
      </c>
      <c r="W19" s="30">
        <f>U19/Q19</f>
        <v>0.2201880257298367</v>
      </c>
      <c r="X19" s="30">
        <v>-1.542484580584077</v>
      </c>
      <c r="Y19" s="31">
        <v>0.22170219446093389</v>
      </c>
      <c r="Z19" s="32">
        <f>F19-Q19</f>
        <v>0.91749999999999954</v>
      </c>
      <c r="AA19" s="30">
        <v>3.1512000000000002</v>
      </c>
      <c r="AB19" s="30">
        <v>7.1556000000000015</v>
      </c>
      <c r="AC19" s="30">
        <v>0.0528</v>
      </c>
      <c r="AD19" s="30">
        <v>1.5252000000000001</v>
      </c>
      <c r="AE19" s="30">
        <v>1.6260000000000001</v>
      </c>
      <c r="AF19" s="30">
        <v>11.589848026046246</v>
      </c>
      <c r="AG19" s="30">
        <f>AF19/AA19</f>
        <v>3.6779157229138884</v>
      </c>
      <c r="AH19" s="30">
        <v>-2.4171824147541514</v>
      </c>
      <c r="AI19" s="44">
        <f>(AE19/AA19)*100</f>
        <v>51.599390708301598</v>
      </c>
      <c r="AJ19" s="30">
        <v>2.8130000000000002</v>
      </c>
      <c r="AK19" s="30">
        <v>5.5750000000000002</v>
      </c>
      <c r="AL19" s="30">
        <v>0.36700000000000005</v>
      </c>
      <c r="AM19" s="30">
        <v>1.51</v>
      </c>
      <c r="AN19" s="30">
        <v>1.3030000000000002</v>
      </c>
      <c r="AO19" s="30">
        <v>10.451358170591009</v>
      </c>
      <c r="AP19" s="30">
        <f>AN19/AJ19</f>
        <v>0.46320654105936726</v>
      </c>
      <c r="AQ19" s="30">
        <v>-2.4492333510239295</v>
      </c>
      <c r="AR19" s="45">
        <f>(AN19/AJ19)*100</f>
        <v>46.320654105936725</v>
      </c>
      <c r="AS19" s="46">
        <f>AJ19-AA19</f>
        <v>-0.33820000000000006</v>
      </c>
      <c r="AT19" s="30">
        <f>AN19-AE19</f>
        <v>-0.32299999999999995</v>
      </c>
      <c r="AU19" s="30">
        <v>8.1420680542788393</v>
      </c>
      <c r="AV19" s="30">
        <v>-0.042965932740118132</v>
      </c>
      <c r="AW19" s="30">
        <v>0.01734980467553926</v>
      </c>
      <c r="AX19" s="31">
        <v>0.017369988589411505</v>
      </c>
      <c r="AY19" s="30">
        <v>6.6380000000000008</v>
      </c>
      <c r="AZ19" s="30">
        <v>3.4299999999999997</v>
      </c>
      <c r="BA19" s="30">
        <v>9.8237266299170205</v>
      </c>
      <c r="BB19" s="30">
        <v>1.5044464789429377</v>
      </c>
      <c r="BC19" s="39">
        <v>-2.623124080724812</v>
      </c>
      <c r="BD19" s="30">
        <v>8.0069999999999997</v>
      </c>
      <c r="BE19" s="30">
        <v>3.6165000000000003</v>
      </c>
      <c r="BF19" s="30">
        <v>19.587381444823272</v>
      </c>
      <c r="BG19" s="30">
        <v>2.473754096726942</v>
      </c>
      <c r="BH19" s="39">
        <v>-2.5639824033662135</v>
      </c>
      <c r="BI19" s="30">
        <v>7.9140000000000006</v>
      </c>
      <c r="BJ19" s="30">
        <v>3.4620000000000002</v>
      </c>
      <c r="BK19" s="30">
        <v>29.315179273627905</v>
      </c>
      <c r="BL19" s="30">
        <v>3.8054136480746346</v>
      </c>
      <c r="BM19" s="39">
        <v>-3.005065496339137</v>
      </c>
      <c r="BN19" s="30">
        <v>6.580000000000001</v>
      </c>
      <c r="BO19" s="30">
        <v>2.972</v>
      </c>
      <c r="BP19" s="30">
        <v>38.914004811423787</v>
      </c>
      <c r="BQ19" s="30">
        <v>6.027946156493293</v>
      </c>
      <c r="BR19" s="39">
        <v>-2.3260105747697524</v>
      </c>
      <c r="BS19" s="30">
        <v>6.4530000000000003</v>
      </c>
      <c r="BT19" s="30">
        <v>3.2655000000000003</v>
      </c>
      <c r="BU19" s="30">
        <v>48.458937285243834</v>
      </c>
      <c r="BV19" s="30">
        <v>7.9924564308328474</v>
      </c>
      <c r="BW19" s="39">
        <v>-2.3249502165354867</v>
      </c>
      <c r="BX19" s="49">
        <v>0.041777574426696114</v>
      </c>
      <c r="BY19" s="49">
        <v>2.1649843731133815</v>
      </c>
      <c r="BZ19" s="49">
        <v>0.0022251242423000361</v>
      </c>
      <c r="CA19" s="30">
        <v>2.6400000000000006</v>
      </c>
      <c r="CB19" s="30">
        <v>1.518</v>
      </c>
      <c r="CC19" s="30">
        <v>1.1219999999999999</v>
      </c>
      <c r="CD19" s="30">
        <v>8.6007367110212378</v>
      </c>
      <c r="CE19" s="30">
        <v>8.3287123232896594</v>
      </c>
      <c r="CF19" s="30">
        <v>0.076499999999999999</v>
      </c>
      <c r="CG19" s="30">
        <v>3.0815786391935092</v>
      </c>
      <c r="CH19" s="30">
        <v>0.96899999999999997</v>
      </c>
      <c r="CI19" s="30">
        <v>-0.246</v>
      </c>
      <c r="CJ19" s="30">
        <v>0.54900000000000015</v>
      </c>
      <c r="CK19" s="30">
        <v>59.131304671505667</v>
      </c>
      <c r="CL19" s="30">
        <v>-1.1934673366834172</v>
      </c>
      <c r="CM19" s="30">
        <v>40.868695328494326</v>
      </c>
      <c r="CN19" s="30">
        <v>-1.5474846722428532</v>
      </c>
      <c r="CO19" s="30">
        <v>-1.6661206369547712</v>
      </c>
      <c r="CP19" s="30">
        <v>0.20235871807140038</v>
      </c>
      <c r="CQ19" s="31">
        <v>0.5</v>
      </c>
      <c r="CR19" s="30">
        <v>1.141</v>
      </c>
      <c r="CS19" s="30">
        <v>0.91800000000000004</v>
      </c>
      <c r="CT19" s="30">
        <v>0.22300000000000003</v>
      </c>
      <c r="CU19" s="30">
        <v>17.954871181178589</v>
      </c>
      <c r="CV19" s="30">
        <v>19.558683203898244</v>
      </c>
      <c r="CW19" s="30">
        <v>0.04725</v>
      </c>
      <c r="CX19" s="30">
        <v>4.1589174283946795</v>
      </c>
      <c r="CY19" s="30">
        <v>0.47400000000000003</v>
      </c>
      <c r="CZ19" s="30">
        <v>0.060000000000000005</v>
      </c>
      <c r="DA19" s="30">
        <v>0.44400000000000001</v>
      </c>
      <c r="DB19" s="30">
        <v>51.633986928104576</v>
      </c>
      <c r="DC19" s="30">
        <v>6.5359477124183014</v>
      </c>
      <c r="DD19" s="30">
        <v>48.366013071895424</v>
      </c>
      <c r="DE19" s="30">
        <v>-1.6594394256037763</v>
      </c>
      <c r="DF19" s="30">
        <v>-1.6645913117487714</v>
      </c>
      <c r="DG19" s="30">
        <v>0.16587943861168181</v>
      </c>
      <c r="DH19" s="30">
        <v>0</v>
      </c>
      <c r="DI19" s="30">
        <v>3.1860000000000004</v>
      </c>
      <c r="DJ19" s="30">
        <v>2.262</v>
      </c>
      <c r="DK19" s="30">
        <v>0.92400000000000004</v>
      </c>
      <c r="DL19" s="30">
        <v>8.7093329867743634</v>
      </c>
      <c r="DM19" s="30">
        <v>3.8502798350019289</v>
      </c>
      <c r="DN19" s="30">
        <v>0.037249999999999998</v>
      </c>
      <c r="DO19" s="30">
        <v>5.1146642405531475</v>
      </c>
      <c r="DP19" s="30">
        <v>0.96000000000000008</v>
      </c>
      <c r="DQ19" s="30">
        <v>0.054000000000000006</v>
      </c>
      <c r="DR19" s="30">
        <v>1.302</v>
      </c>
      <c r="DS19" s="30">
        <v>42.440318302387276</v>
      </c>
      <c r="DT19" s="30">
        <v>2.3872679045092839</v>
      </c>
      <c r="DU19" s="30">
        <v>57.559681697612739</v>
      </c>
      <c r="DV19" s="30">
        <v>-1.4065919496926185</v>
      </c>
      <c r="DW19" s="30">
        <v>-1.7181290499779003</v>
      </c>
      <c r="DX19" s="30">
        <v>0.071542594905665266</v>
      </c>
      <c r="DY19" s="30">
        <v>2</v>
      </c>
      <c r="DZ19" s="30">
        <v>2.3543333333333334</v>
      </c>
      <c r="EA19" s="30">
        <v>1.8600000000000001</v>
      </c>
      <c r="EB19" s="30">
        <v>0.49433333333333335</v>
      </c>
      <c r="EC19" s="30">
        <v>17.02902643998895</v>
      </c>
      <c r="ED19" s="30">
        <v>9.5642701236654659</v>
      </c>
      <c r="EE19" s="30">
        <v>0.048500000000000001</v>
      </c>
      <c r="EF19" s="30">
        <v>0.9880000000000001</v>
      </c>
      <c r="EG19" s="30">
        <v>0.46799999999999997</v>
      </c>
      <c r="EH19" s="30">
        <v>0.87200000000000022</v>
      </c>
      <c r="EI19" s="30">
        <v>52.839546840486719</v>
      </c>
      <c r="EJ19" s="30">
        <v>27.839100371796203</v>
      </c>
      <c r="EK19" s="30">
        <v>47.160453159513281</v>
      </c>
      <c r="EL19" s="30">
        <v>-1.6901399376833925</v>
      </c>
      <c r="EM19" s="30">
        <v>-1.7868332169633281</v>
      </c>
      <c r="EN19" s="30">
        <v>0.25660145420656127</v>
      </c>
      <c r="EO19" s="30">
        <v>1.5</v>
      </c>
    </row>
    <row r="20" ht="14.25">
      <c r="A20" s="52" t="s">
        <v>138</v>
      </c>
      <c r="B20" s="52">
        <v>2</v>
      </c>
      <c r="C20" s="61">
        <v>7</v>
      </c>
      <c r="D20" s="30">
        <v>1.4715</v>
      </c>
      <c r="E20" s="30">
        <v>2.3970000000000002</v>
      </c>
      <c r="F20" s="30">
        <v>4.00725</v>
      </c>
      <c r="G20" s="30">
        <v>0.13875000000000001</v>
      </c>
      <c r="H20" s="30">
        <v>10.256563985838172</v>
      </c>
      <c r="I20" s="30">
        <v>17.711285849755541</v>
      </c>
      <c r="J20" s="30">
        <v>0.93675000000000008</v>
      </c>
      <c r="K20" s="30">
        <v>63.461256749788113</v>
      </c>
      <c r="L20" s="30">
        <f>J20/F20</f>
        <v>0.23376380310686881</v>
      </c>
      <c r="M20" s="30">
        <v>-1.6460822259016432</v>
      </c>
      <c r="N20" s="31">
        <v>0.10777805922674399</v>
      </c>
      <c r="O20" s="30">
        <v>1.4100000000000001</v>
      </c>
      <c r="P20" s="30">
        <v>1.9900000000000002</v>
      </c>
      <c r="Q20" s="30">
        <v>3.448</v>
      </c>
      <c r="R20" s="30">
        <v>0.048000000000000008</v>
      </c>
      <c r="S20" s="30">
        <v>10.322986973446254</v>
      </c>
      <c r="T20" s="30">
        <v>17.479943843174002</v>
      </c>
      <c r="U20" s="30">
        <v>0.69300000000000006</v>
      </c>
      <c r="V20" s="30">
        <v>49.5400585634438</v>
      </c>
      <c r="W20" s="30">
        <f>U20/Q20</f>
        <v>0.20098607888631093</v>
      </c>
      <c r="X20" s="30">
        <v>-1.6900752930512837</v>
      </c>
      <c r="Y20" s="31">
        <v>0.071748066106031835</v>
      </c>
      <c r="Z20" s="32">
        <f>F20-Q20</f>
        <v>0.55925000000000002</v>
      </c>
      <c r="AA20" s="30">
        <v>4.1715</v>
      </c>
      <c r="AB20" s="30">
        <v>8.6129999999999995</v>
      </c>
      <c r="AC20" s="30">
        <v>0.039750000000000001</v>
      </c>
      <c r="AD20" s="30">
        <v>2.3130000000000002</v>
      </c>
      <c r="AE20" s="30">
        <v>1.8585</v>
      </c>
      <c r="AF20" s="30">
        <v>11.508321765834168</v>
      </c>
      <c r="AG20" s="30">
        <f>AF20/AA20</f>
        <v>2.758797019257861</v>
      </c>
      <c r="AH20" s="30">
        <v>-2.7380026846924954</v>
      </c>
      <c r="AI20" s="44">
        <f>(AE20/AA20)*100</f>
        <v>44.552319309600861</v>
      </c>
      <c r="AJ20" s="30">
        <v>3.9480000000000004</v>
      </c>
      <c r="AK20" s="30">
        <v>6.1539999999999999</v>
      </c>
      <c r="AL20" s="30">
        <v>0.029000000000000001</v>
      </c>
      <c r="AM20" s="30">
        <v>2.3260000000000001</v>
      </c>
      <c r="AN20" s="30">
        <v>1.6220000000000001</v>
      </c>
      <c r="AO20" s="30">
        <v>11.380449418093264</v>
      </c>
      <c r="AP20" s="30">
        <f>AN20/AJ20</f>
        <v>0.41084093211752787</v>
      </c>
      <c r="AQ20" s="30">
        <v>-2.9575878811039176</v>
      </c>
      <c r="AR20" s="45">
        <f>(AN20/AJ20)*100</f>
        <v>41.084093211752787</v>
      </c>
      <c r="AS20" s="46">
        <f>AJ20-AA20</f>
        <v>-0.22349999999999959</v>
      </c>
      <c r="AT20" s="30">
        <f>AN20-AE20</f>
        <v>-0.23649999999999993</v>
      </c>
      <c r="AU20" s="30">
        <v>3.2218614387315809</v>
      </c>
      <c r="AV20" s="30">
        <v>0.34320404187501319</v>
      </c>
      <c r="AW20" s="30">
        <v>0.173997184793932</v>
      </c>
      <c r="AX20" s="31">
        <v>0.17567227125921964</v>
      </c>
      <c r="AY20" s="30">
        <v>5.0200000000000005</v>
      </c>
      <c r="AZ20" s="30">
        <v>2.4860000000000002</v>
      </c>
      <c r="BA20" s="30">
        <v>9.6957206994293319</v>
      </c>
      <c r="BB20" s="30">
        <v>1.9463309023419864</v>
      </c>
      <c r="BC20" s="39">
        <v>-2.5507712998352572</v>
      </c>
      <c r="BD20" s="30">
        <v>7.5030000000000001</v>
      </c>
      <c r="BE20" s="30">
        <v>4.125</v>
      </c>
      <c r="BF20" s="30">
        <v>19.416199320018677</v>
      </c>
      <c r="BG20" s="30">
        <v>2.6752919316147885</v>
      </c>
      <c r="BH20" s="39">
        <v>-3.0546078258989322</v>
      </c>
      <c r="BI20" s="30">
        <v>16.668000000000003</v>
      </c>
      <c r="BJ20" s="30">
        <v>7.5420000000000007</v>
      </c>
      <c r="BK20" s="30">
        <v>29.216448125289205</v>
      </c>
      <c r="BL20" s="30">
        <v>2.0195776682452511</v>
      </c>
      <c r="BM20" s="39">
        <v>-2.8429430977095116</v>
      </c>
      <c r="BN20" s="30">
        <v>10.33</v>
      </c>
      <c r="BO20" s="30">
        <v>5.4619999999999997</v>
      </c>
      <c r="BP20" s="30">
        <v>38.648403280477062</v>
      </c>
      <c r="BQ20" s="30">
        <v>3.7611819282113239</v>
      </c>
      <c r="BR20" s="39">
        <v>-2.8642677987546925</v>
      </c>
      <c r="BS20" s="30">
        <v>9.5560000000000009</v>
      </c>
      <c r="BT20" s="30">
        <v>4.8820000000000006</v>
      </c>
      <c r="BU20" s="30">
        <v>48.720963436219648</v>
      </c>
      <c r="BV20" s="30">
        <v>5.3008152309425212</v>
      </c>
      <c r="BW20" s="39">
        <v>-2.7756641618825935</v>
      </c>
      <c r="BX20" s="49">
        <v>0.71201704839819591</v>
      </c>
      <c r="BY20" s="49">
        <v>-0.81497195183050641</v>
      </c>
      <c r="BZ20" s="49">
        <v>0.6676644140044472</v>
      </c>
      <c r="CA20" s="30">
        <v>0.99600000000000011</v>
      </c>
      <c r="CB20" s="30"/>
      <c r="CC20" s="30">
        <v>0.15000000000000002</v>
      </c>
      <c r="CD20" s="30"/>
      <c r="CE20" s="30"/>
      <c r="CF20" s="30">
        <v>0.048750000000000002</v>
      </c>
      <c r="CG20" s="30">
        <v>2.8692067915094079</v>
      </c>
      <c r="CH20" s="30">
        <v>0.61199999999999999</v>
      </c>
      <c r="CI20" s="30">
        <v>0.438</v>
      </c>
      <c r="CJ20" s="30"/>
      <c r="CK20" s="30">
        <v>72.340425531914875</v>
      </c>
      <c r="CL20" s="30">
        <v>51.77304964539006</v>
      </c>
      <c r="CM20" s="30">
        <v>27.659574468085115</v>
      </c>
      <c r="CN20" s="30">
        <v>-1.5587132221306084</v>
      </c>
      <c r="CO20" s="30">
        <v>-1.762463995064824</v>
      </c>
      <c r="CP20" s="30">
        <v>0.038711711897318341</v>
      </c>
      <c r="CQ20" s="31">
        <v>0</v>
      </c>
      <c r="CR20" s="30">
        <v>2.5946666666666669</v>
      </c>
      <c r="CS20" s="30">
        <v>2.3839999999999999</v>
      </c>
      <c r="CT20" s="30">
        <v>0.21066666666666667</v>
      </c>
      <c r="CU20" s="30">
        <v>17.533437682429312</v>
      </c>
      <c r="CV20" s="30">
        <v>7.4591021096533012</v>
      </c>
      <c r="CW20" s="30">
        <v>0.05850000000000001</v>
      </c>
      <c r="CX20" s="30">
        <v>4.0445352708153708</v>
      </c>
      <c r="CY20" s="30">
        <v>1.7000000000000002</v>
      </c>
      <c r="CZ20" s="30">
        <v>1.1859999999999999</v>
      </c>
      <c r="DA20" s="30">
        <v>0.68399999999999983</v>
      </c>
      <c r="DB20" s="30">
        <v>69.642592251769926</v>
      </c>
      <c r="DC20" s="30">
        <v>50.092608010760905</v>
      </c>
      <c r="DD20" s="30">
        <v>30.357407748230074</v>
      </c>
      <c r="DE20" s="30">
        <v>-2.0711386628601374</v>
      </c>
      <c r="DF20" s="30">
        <v>-2.0693859988866237</v>
      </c>
      <c r="DG20" s="30">
        <v>0.25998739318964142</v>
      </c>
      <c r="DH20" s="30">
        <v>1.3333333333333333</v>
      </c>
      <c r="DI20" s="30">
        <v>2.2352500000000002</v>
      </c>
      <c r="DJ20" s="30">
        <v>2.0295000000000001</v>
      </c>
      <c r="DK20" s="30">
        <v>0.20575000000000002</v>
      </c>
      <c r="DL20" s="30">
        <v>8.5447075927979181</v>
      </c>
      <c r="DM20" s="30">
        <v>4.2592104408135008</v>
      </c>
      <c r="DN20" s="30">
        <v>0.058250000000000003</v>
      </c>
      <c r="DO20" s="30">
        <v>5.0789572353541876</v>
      </c>
      <c r="DP20" s="30">
        <v>1.206</v>
      </c>
      <c r="DQ20" s="30">
        <v>0.80400000000000005</v>
      </c>
      <c r="DR20" s="30">
        <v>0.8234999999999999</v>
      </c>
      <c r="DS20" s="30">
        <v>58.113546523989115</v>
      </c>
      <c r="DT20" s="30">
        <v>39.128450898011785</v>
      </c>
      <c r="DU20" s="30">
        <v>41.886453476010892</v>
      </c>
      <c r="DV20" s="30">
        <v>-1.9797891483651722</v>
      </c>
      <c r="DW20" s="30">
        <v>-2.131777256353582</v>
      </c>
      <c r="DX20" s="30">
        <v>0.082088003890998629</v>
      </c>
      <c r="DY20" s="30">
        <v>1.25</v>
      </c>
      <c r="DZ20" s="30">
        <v>3.8059999999999996</v>
      </c>
      <c r="EA20" s="30">
        <v>3.512</v>
      </c>
      <c r="EB20" s="30">
        <v>0.29400000000000004</v>
      </c>
      <c r="EC20" s="30">
        <v>17.067924097293915</v>
      </c>
      <c r="ED20" s="30">
        <v>4.9523256878734774</v>
      </c>
      <c r="EE20" s="30">
        <v>0.03875</v>
      </c>
      <c r="EF20" s="30">
        <v>1.5640000000000001</v>
      </c>
      <c r="EG20" s="30">
        <v>0.58600000000000008</v>
      </c>
      <c r="EH20" s="30">
        <v>1.9479999999999997</v>
      </c>
      <c r="EI20" s="30">
        <v>42.575250107876833</v>
      </c>
      <c r="EJ20" s="30">
        <v>16.588177006307063</v>
      </c>
      <c r="EK20" s="30">
        <v>57.424749892123167</v>
      </c>
      <c r="EL20" s="30">
        <v>-1.8378861843663579</v>
      </c>
      <c r="EM20" s="30">
        <v>-1.8952922346727756</v>
      </c>
      <c r="EN20" s="30">
        <v>0.20436661100696241</v>
      </c>
      <c r="EO20" s="30">
        <v>5.666666666666667</v>
      </c>
    </row>
    <row r="21" ht="14.25">
      <c r="A21" s="43" t="s">
        <v>139</v>
      </c>
      <c r="B21" s="43">
        <v>2</v>
      </c>
      <c r="C21" s="55">
        <v>7</v>
      </c>
      <c r="D21" s="30">
        <v>0.89340000000000008</v>
      </c>
      <c r="E21" s="30">
        <v>0.98519999999999985</v>
      </c>
      <c r="F21" s="30">
        <v>1.9152</v>
      </c>
      <c r="G21" s="30">
        <v>0.036600000000000008</v>
      </c>
      <c r="H21" s="30">
        <v>11.139139024218604</v>
      </c>
      <c r="I21" s="30">
        <v>17.981185955623861</v>
      </c>
      <c r="J21" s="30">
        <v>0.4476</v>
      </c>
      <c r="K21" s="30">
        <v>47.310441610509805</v>
      </c>
      <c r="L21" s="30">
        <f>J21/F21</f>
        <v>0.23370927318295739</v>
      </c>
      <c r="M21" s="30">
        <v>-1.5185737745925034</v>
      </c>
      <c r="N21" s="31">
        <v>0.17700874508976655</v>
      </c>
      <c r="O21" s="30">
        <v>0.97542857142857131</v>
      </c>
      <c r="P21" s="30">
        <v>0.76200000000000012</v>
      </c>
      <c r="Q21" s="30">
        <v>1.7408571428571431</v>
      </c>
      <c r="R21" s="30">
        <v>0.0034285714285714288</v>
      </c>
      <c r="S21" s="30">
        <v>10.402778338357459</v>
      </c>
      <c r="T21" s="30">
        <v>16.47581604155506</v>
      </c>
      <c r="U21" s="30">
        <v>0.36428571428571432</v>
      </c>
      <c r="V21" s="30">
        <v>34.092123304215413</v>
      </c>
      <c r="W21" s="30">
        <f>U21/Q21</f>
        <v>0.20925652387986213</v>
      </c>
      <c r="X21" s="30">
        <v>-1.5993008129918318</v>
      </c>
      <c r="Y21" s="31">
        <v>0.15903225528222936</v>
      </c>
      <c r="Z21" s="32">
        <f>F21-Q21</f>
        <v>0.17434285714285691</v>
      </c>
      <c r="AA21" s="30">
        <v>2.5284000000000004</v>
      </c>
      <c r="AB21" s="30">
        <v>4.4436000000000009</v>
      </c>
      <c r="AC21" s="30">
        <v>0.0072000000000000007</v>
      </c>
      <c r="AD21" s="30">
        <v>1.6092000000000002</v>
      </c>
      <c r="AE21" s="30">
        <v>0.91920000000000002</v>
      </c>
      <c r="AF21" s="30">
        <v>11.972103461118079</v>
      </c>
      <c r="AG21" s="30">
        <f>AF21/AA21</f>
        <v>4.7350512027836089</v>
      </c>
      <c r="AH21" s="30">
        <v>-2.3573715368314514</v>
      </c>
      <c r="AI21" s="44">
        <f>(AE21/AA21)*100</f>
        <v>36.355007119126711</v>
      </c>
      <c r="AJ21" s="30">
        <v>3.6213333333333342</v>
      </c>
      <c r="AK21" s="30">
        <v>6.338000000000001</v>
      </c>
      <c r="AL21" s="30">
        <v>0.032000000000000001</v>
      </c>
      <c r="AM21" s="30">
        <v>2.2946666666666671</v>
      </c>
      <c r="AN21" s="30">
        <v>1.3266666666666669</v>
      </c>
      <c r="AO21" s="30">
        <v>11.94687647010624</v>
      </c>
      <c r="AP21" s="30">
        <f>AN21/AJ21</f>
        <v>0.36634756995581735</v>
      </c>
      <c r="AQ21" s="30">
        <v>-2.3140664219457086</v>
      </c>
      <c r="AR21" s="45">
        <f>(AN21/AJ21)*100</f>
        <v>36.634756995581732</v>
      </c>
      <c r="AS21" s="46">
        <f>AJ21-AA21</f>
        <v>1.0929333333333338</v>
      </c>
      <c r="AT21" s="30">
        <f>AN21-AE21</f>
        <v>0.40746666666666687</v>
      </c>
      <c r="AU21" s="30">
        <v>0.30211953274492453</v>
      </c>
      <c r="AV21" s="30">
        <v>0.88894984730406401</v>
      </c>
      <c r="AW21" s="30">
        <v>0.38019848687066382</v>
      </c>
      <c r="AX21" s="31">
        <v>0.38025161491307796</v>
      </c>
      <c r="AY21" s="30">
        <v>3.0032000000000005</v>
      </c>
      <c r="AZ21" s="30">
        <v>1.9936</v>
      </c>
      <c r="BA21" s="30">
        <v>10.464761785609792</v>
      </c>
      <c r="BB21" s="30">
        <v>3.8416986605469909</v>
      </c>
      <c r="BC21" s="39">
        <v>-2.238897774897243</v>
      </c>
      <c r="BD21" s="30">
        <v>2.9628000000000001</v>
      </c>
      <c r="BE21" s="30">
        <v>1.7088000000000001</v>
      </c>
      <c r="BF21" s="30">
        <v>19.89547972106941</v>
      </c>
      <c r="BG21" s="30">
        <v>6.9482577478159353</v>
      </c>
      <c r="BH21" s="39">
        <v>-2.0255059453707878</v>
      </c>
      <c r="BI21" s="30">
        <v>4.4976000000000003</v>
      </c>
      <c r="BJ21" s="30">
        <v>2.4936000000000003</v>
      </c>
      <c r="BK21" s="30">
        <v>30.463231430331234</v>
      </c>
      <c r="BL21" s="30">
        <v>7.0913449619722879</v>
      </c>
      <c r="BM21" s="39">
        <v>-2.5589346244087969</v>
      </c>
      <c r="BN21" s="30">
        <v>14.397000000000002</v>
      </c>
      <c r="BO21" s="30">
        <v>8.5995000000000008</v>
      </c>
      <c r="BP21" s="30">
        <v>39.601085404637047</v>
      </c>
      <c r="BQ21" s="30">
        <v>2.7906776814684702</v>
      </c>
      <c r="BR21" s="39">
        <v>-2.4105377497284923</v>
      </c>
      <c r="BS21" s="30">
        <v>6.8808000000000007</v>
      </c>
      <c r="BT21" s="30">
        <v>4.0836000000000006</v>
      </c>
      <c r="BU21" s="30">
        <v>48.449701621803733</v>
      </c>
      <c r="BV21" s="30">
        <v>7.237635366186522</v>
      </c>
      <c r="BW21" s="39">
        <v>-2.2580822350971941</v>
      </c>
      <c r="BX21" s="30">
        <v>0.19251858880158781</v>
      </c>
      <c r="BY21" s="30">
        <v>0.79016133760512397</v>
      </c>
      <c r="BZ21" s="30">
        <v>0.088013423682410274</v>
      </c>
      <c r="CA21" s="30">
        <v>1.1652500000000001</v>
      </c>
      <c r="CB21" s="30">
        <v>0.78449999999999998</v>
      </c>
      <c r="CC21" s="30">
        <v>0.38075000000000003</v>
      </c>
      <c r="CD21" s="30">
        <v>7.8194234186200875</v>
      </c>
      <c r="CE21" s="30">
        <v>10.583668165502546</v>
      </c>
      <c r="CF21" s="30">
        <v>0.03925</v>
      </c>
      <c r="CG21" s="30">
        <v>2.9621121783134741</v>
      </c>
      <c r="CH21" s="30">
        <v>0.35850000000000004</v>
      </c>
      <c r="CI21" s="30">
        <v>0.2475</v>
      </c>
      <c r="CJ21" s="30">
        <v>0.42599999999999999</v>
      </c>
      <c r="CK21" s="30">
        <v>47.039833612839573</v>
      </c>
      <c r="CL21" s="30">
        <v>30.747280700912928</v>
      </c>
      <c r="CM21" s="30">
        <v>52.960166387160427</v>
      </c>
      <c r="CN21" s="30">
        <v>-1.5943126085529724</v>
      </c>
      <c r="CO21" s="30">
        <v>-1.5420888009102485</v>
      </c>
      <c r="CP21" s="30">
        <v>0.051313568233798165</v>
      </c>
      <c r="CQ21" s="31">
        <v>0.5</v>
      </c>
      <c r="CR21" s="30">
        <v>2.1230000000000002</v>
      </c>
      <c r="CS21" s="30">
        <v>1.3320000000000001</v>
      </c>
      <c r="CT21" s="30">
        <v>0.79100000000000004</v>
      </c>
      <c r="CU21" s="30">
        <v>16.552294382288878</v>
      </c>
      <c r="CV21" s="30">
        <v>15.411350715017699</v>
      </c>
      <c r="CW21" s="30">
        <v>0.055000000000000007</v>
      </c>
      <c r="CX21" s="30">
        <v>4.0366576718109837</v>
      </c>
      <c r="CY21" s="30">
        <v>0.78900000000000015</v>
      </c>
      <c r="CZ21" s="30">
        <v>0.72900000000000009</v>
      </c>
      <c r="DA21" s="30">
        <v>0.54300000000000004</v>
      </c>
      <c r="DB21" s="30">
        <v>55.386031166034662</v>
      </c>
      <c r="DC21" s="30">
        <v>45.069441606820973</v>
      </c>
      <c r="DD21" s="30">
        <v>44.613968833965338</v>
      </c>
      <c r="DE21" s="30">
        <v>-1.6058265077880349</v>
      </c>
      <c r="DF21" s="30">
        <v>-1.7099892220894506</v>
      </c>
      <c r="DG21" s="30">
        <v>0.14517267294556105</v>
      </c>
      <c r="DH21" s="30">
        <v>0.75</v>
      </c>
      <c r="DI21" s="30">
        <v>1.0983333333333334</v>
      </c>
      <c r="DJ21" s="30">
        <v>0.66600000000000004</v>
      </c>
      <c r="DK21" s="30">
        <v>0.4323333333333334</v>
      </c>
      <c r="DL21" s="30">
        <v>8.9335960711324205</v>
      </c>
      <c r="DM21" s="30">
        <v>13.731106782597742</v>
      </c>
      <c r="DN21" s="30">
        <v>0.068750000000000006</v>
      </c>
      <c r="DO21" s="30">
        <v>5.1522991575145243</v>
      </c>
      <c r="DP21" s="30">
        <v>0.22200000000000006</v>
      </c>
      <c r="DQ21" s="30">
        <v>0.106</v>
      </c>
      <c r="DR21" s="30">
        <v>0.44400000000000012</v>
      </c>
      <c r="DS21" s="30">
        <v>33.995194705109029</v>
      </c>
      <c r="DT21" s="30">
        <v>15.942699125073666</v>
      </c>
      <c r="DU21" s="30">
        <v>66.004805294890971</v>
      </c>
      <c r="DV21" s="30">
        <v>-1.5299378861300577</v>
      </c>
      <c r="DW21" s="30">
        <v>-1.4373369897673822</v>
      </c>
      <c r="DX21" s="30">
        <v>0.091755199674063717</v>
      </c>
      <c r="DY21" s="30">
        <v>0.33333333333333331</v>
      </c>
      <c r="DZ21" s="30">
        <v>2.14175</v>
      </c>
      <c r="EA21" s="30">
        <v>1.2840000000000003</v>
      </c>
      <c r="EB21" s="30">
        <v>0.85775000000000001</v>
      </c>
      <c r="EC21" s="30">
        <v>16.704887665028046</v>
      </c>
      <c r="ED21" s="30">
        <v>14.63329200136371</v>
      </c>
      <c r="EE21" s="30">
        <v>0.060250000000000005</v>
      </c>
      <c r="EF21" s="30">
        <v>0.62550000000000006</v>
      </c>
      <c r="EG21" s="30">
        <v>0.41100000000000003</v>
      </c>
      <c r="EH21" s="30">
        <v>0.65850000000000009</v>
      </c>
      <c r="EI21" s="30">
        <v>45.054669082770033</v>
      </c>
      <c r="EJ21" s="30">
        <v>24.512709871239252</v>
      </c>
      <c r="EK21" s="30">
        <v>54.945330917229967</v>
      </c>
      <c r="EL21" s="30">
        <v>-1.511754946652536</v>
      </c>
      <c r="EM21" s="30">
        <v>-1.6305558513227809</v>
      </c>
      <c r="EN21" s="30">
        <v>0.20807528965371097</v>
      </c>
      <c r="EO21" s="30">
        <v>1</v>
      </c>
    </row>
    <row r="22" ht="14.25">
      <c r="A22" s="42" t="s">
        <v>139</v>
      </c>
      <c r="B22" s="43">
        <v>2</v>
      </c>
      <c r="C22" s="43">
        <v>7.0099999999999998</v>
      </c>
      <c r="D22" s="30">
        <v>0.65175000000000005</v>
      </c>
      <c r="E22" s="30">
        <v>1.1985000000000001</v>
      </c>
      <c r="F22" s="30">
        <v>1.9395000000000002</v>
      </c>
      <c r="G22" s="30">
        <v>0.089250000000000024</v>
      </c>
      <c r="H22" s="30">
        <v>10.566497622085535</v>
      </c>
      <c r="I22" s="30">
        <v>17.896718100311809</v>
      </c>
      <c r="J22" s="30">
        <v>0.33524999999999999</v>
      </c>
      <c r="K22" s="30">
        <v>47.492079333290235</v>
      </c>
      <c r="L22" s="30">
        <f>J22/F22</f>
        <v>0.17285382830626447</v>
      </c>
      <c r="M22" s="30">
        <v>-1.5428735849648978</v>
      </c>
      <c r="N22" s="31">
        <v>0.18670088890485015</v>
      </c>
      <c r="O22" s="30">
        <v>0.59999999999999998</v>
      </c>
      <c r="P22" s="30">
        <v>0.79020000000000012</v>
      </c>
      <c r="Q22" s="30">
        <v>1.3992</v>
      </c>
      <c r="R22" s="30">
        <v>0.0089999999999999993</v>
      </c>
      <c r="S22" s="30">
        <v>11.145038500354369</v>
      </c>
      <c r="T22" s="30">
        <v>17.808242109484603</v>
      </c>
      <c r="U22" s="30">
        <v>0.27360000000000001</v>
      </c>
      <c r="V22" s="30">
        <v>43.858742790481493</v>
      </c>
      <c r="W22" s="30">
        <f>U22/Q22</f>
        <v>0.19554030874785591</v>
      </c>
      <c r="X22" s="30">
        <v>-1.5141621585980838</v>
      </c>
      <c r="Y22" s="31">
        <v>0.32209636640668754</v>
      </c>
      <c r="Z22" s="32">
        <f>F22-Q22</f>
        <v>0.54030000000000022</v>
      </c>
      <c r="AA22" s="30">
        <v>1.7436</v>
      </c>
      <c r="AB22" s="30">
        <v>3.5964000000000005</v>
      </c>
      <c r="AC22" s="30">
        <v>0.15240000000000001</v>
      </c>
      <c r="AD22" s="30">
        <v>0.92040000000000022</v>
      </c>
      <c r="AE22" s="30">
        <v>0.82320000000000015</v>
      </c>
      <c r="AF22" s="30">
        <v>11.686611252945912</v>
      </c>
      <c r="AG22" s="30">
        <f>AF22/AA22</f>
        <v>6.7025758505080937</v>
      </c>
      <c r="AH22" s="30">
        <v>-2.2068641896091257</v>
      </c>
      <c r="AI22" s="44">
        <f>(AE22/AA22)*100</f>
        <v>47.212663454920865</v>
      </c>
      <c r="AJ22" s="30">
        <v>2.1286666666666663</v>
      </c>
      <c r="AK22" s="30">
        <v>4.7826666666666675</v>
      </c>
      <c r="AL22" s="30">
        <v>0.01666666666666667</v>
      </c>
      <c r="AM22" s="30">
        <v>1.1426666666666667</v>
      </c>
      <c r="AN22" s="30">
        <v>0.98599999999999988</v>
      </c>
      <c r="AO22" s="30">
        <v>11.727554128807204</v>
      </c>
      <c r="AP22" s="30">
        <f>AN22/AJ22</f>
        <v>0.46320075164422175</v>
      </c>
      <c r="AQ22" s="30">
        <v>-2.279770081828095</v>
      </c>
      <c r="AR22" s="45">
        <f>(AN22/AJ22)*100</f>
        <v>46.320075164422178</v>
      </c>
      <c r="AS22" s="46">
        <f>AJ22-AA22</f>
        <v>0.38506666666666622</v>
      </c>
      <c r="AT22" s="30">
        <f>AN22-AE22</f>
        <v>0.16279999999999972</v>
      </c>
      <c r="AU22" s="30">
        <v>36.225345802592322</v>
      </c>
      <c r="AV22" s="30">
        <v>-0.68514677135161373</v>
      </c>
      <c r="AW22" s="30">
        <v>0.28233017731168153</v>
      </c>
      <c r="AX22" s="31">
        <v>0.2897008424073157</v>
      </c>
      <c r="AY22" s="30">
        <v>8.4212000000000007</v>
      </c>
      <c r="AZ22" s="30">
        <v>3.7480000000000002</v>
      </c>
      <c r="BA22" s="30">
        <v>10.426922066093706</v>
      </c>
      <c r="BB22" s="30">
        <v>1.4222519516839787</v>
      </c>
      <c r="BC22" s="39">
        <v>-3.2471260393749461</v>
      </c>
      <c r="BD22" s="30">
        <v>1.9044000000000001</v>
      </c>
      <c r="BE22" s="30">
        <v>0.97920000000000018</v>
      </c>
      <c r="BF22" s="30">
        <v>19.547256374514987</v>
      </c>
      <c r="BG22" s="30">
        <v>10.743081046053394</v>
      </c>
      <c r="BH22" s="39">
        <v>-2.2010937926422032</v>
      </c>
      <c r="BI22" s="30">
        <v>3.2680000000000002</v>
      </c>
      <c r="BJ22" s="30">
        <v>1.4019999999999999</v>
      </c>
      <c r="BK22" s="30">
        <v>28.254533589287131</v>
      </c>
      <c r="BL22" s="30">
        <v>8.6625883009212359</v>
      </c>
      <c r="BM22" s="39">
        <v>-2.2246751852309505</v>
      </c>
      <c r="BN22" s="30">
        <v>3.2775000000000003</v>
      </c>
      <c r="BO22" s="30">
        <v>1.5270000000000001</v>
      </c>
      <c r="BP22" s="30">
        <v>38.745149969129336</v>
      </c>
      <c r="BQ22" s="30">
        <v>12.006968248886508</v>
      </c>
      <c r="BR22" s="39">
        <v>-2.2727017693572393</v>
      </c>
      <c r="BS22" s="30">
        <v>4.6547999999999998</v>
      </c>
      <c r="BT22" s="30">
        <v>2.3243999999999998</v>
      </c>
      <c r="BU22" s="30">
        <v>47.517321260939823</v>
      </c>
      <c r="BV22" s="30">
        <v>10.893619010071152</v>
      </c>
      <c r="BW22" s="39">
        <v>-2.3170681511333364</v>
      </c>
      <c r="BX22" s="30">
        <v>0.13760761184649664</v>
      </c>
      <c r="BY22" s="30">
        <v>0.37870769470298765</v>
      </c>
      <c r="BZ22" s="30">
        <v>0.40739993659724438</v>
      </c>
      <c r="CA22" s="30">
        <v>0.81200000000000006</v>
      </c>
      <c r="CB22" s="30">
        <v>0.56850000000000001</v>
      </c>
      <c r="CC22" s="30">
        <v>0.24349999999999999</v>
      </c>
      <c r="CD22" s="30">
        <v>8.3199463457049578</v>
      </c>
      <c r="CE22" s="30">
        <v>14.833611592024273</v>
      </c>
      <c r="CF22" s="30">
        <v>0.047500000000000001</v>
      </c>
      <c r="CG22" s="30">
        <v>3.04819724662201</v>
      </c>
      <c r="CH22" s="30">
        <v>0.31200000000000006</v>
      </c>
      <c r="CI22" s="30">
        <v>0.094500000000000001</v>
      </c>
      <c r="CJ22" s="30">
        <v>0.25650000000000006</v>
      </c>
      <c r="CK22" s="30">
        <v>55.457028265851797</v>
      </c>
      <c r="CL22" s="30">
        <v>16.442258721670488</v>
      </c>
      <c r="CM22" s="30">
        <v>44.542971734148203</v>
      </c>
      <c r="CN22" s="30">
        <v>-1.4945413782728827</v>
      </c>
      <c r="CO22" s="30">
        <v>-1.5785493831772757</v>
      </c>
      <c r="CP22" s="30">
        <v>0.11386772990014023</v>
      </c>
      <c r="CQ22" s="31">
        <v>0</v>
      </c>
      <c r="CR22" s="30">
        <v>0.96000000000000019</v>
      </c>
      <c r="CS22" s="30">
        <v>0.66225000000000001</v>
      </c>
      <c r="CT22" s="30">
        <v>0.29775000000000007</v>
      </c>
      <c r="CU22" s="30">
        <v>16.900861972280531</v>
      </c>
      <c r="CV22" s="30">
        <v>27.598292026488206</v>
      </c>
      <c r="CW22" s="30">
        <v>0.044499999999999998</v>
      </c>
      <c r="CX22" s="30">
        <v>4.0752274121406966</v>
      </c>
      <c r="CY22" s="30">
        <v>0.42825000000000008</v>
      </c>
      <c r="CZ22" s="30">
        <v>0.25875000000000004</v>
      </c>
      <c r="DA22" s="30">
        <v>0.23400000000000004</v>
      </c>
      <c r="DB22" s="30">
        <v>63.009259259259252</v>
      </c>
      <c r="DC22" s="30">
        <v>35.217236467236468</v>
      </c>
      <c r="DD22" s="30">
        <v>36.99074074074074</v>
      </c>
      <c r="DE22" s="30">
        <v>-1.4708779835127725</v>
      </c>
      <c r="DF22" s="30">
        <v>-1.5663212172428613</v>
      </c>
      <c r="DG22" s="30">
        <v>0.16814906428655441</v>
      </c>
      <c r="DH22" s="30">
        <v>0</v>
      </c>
      <c r="DI22" s="30">
        <v>0.98550000000000004</v>
      </c>
      <c r="DJ22" s="30">
        <v>0.75600000000000001</v>
      </c>
      <c r="DK22" s="30">
        <v>0.22950000000000004</v>
      </c>
      <c r="DL22" s="30">
        <v>8.8354268325846732</v>
      </c>
      <c r="DM22" s="30">
        <v>11.975845337663721</v>
      </c>
      <c r="DN22" s="30">
        <v>0.064500000000000002</v>
      </c>
      <c r="DO22" s="30">
        <v>5.0932608050427364</v>
      </c>
      <c r="DP22" s="30">
        <v>0.27300000000000002</v>
      </c>
      <c r="DQ22" s="30">
        <v>0.14700000000000002</v>
      </c>
      <c r="DR22" s="30">
        <v>0.48299999999999998</v>
      </c>
      <c r="DS22" s="30">
        <v>37.257732847874252</v>
      </c>
      <c r="DT22" s="30">
        <v>20.174913860106319</v>
      </c>
      <c r="DU22" s="30">
        <v>62.742267152125763</v>
      </c>
      <c r="DV22" s="30">
        <v>-1.4211896255125682</v>
      </c>
      <c r="DW22" s="30">
        <v>-1.4481721511447909</v>
      </c>
      <c r="DX22" s="30">
        <v>0.049303255083473822</v>
      </c>
      <c r="DY22" s="30">
        <v>0.75</v>
      </c>
      <c r="DZ22" s="30">
        <v>1.2883333333333333</v>
      </c>
      <c r="EA22" s="30">
        <v>1.0400000000000003</v>
      </c>
      <c r="EB22" s="30">
        <v>0.24833333333333338</v>
      </c>
      <c r="EC22" s="30">
        <v>17.364983511830406</v>
      </c>
      <c r="ED22" s="30">
        <v>19.675441709763863</v>
      </c>
      <c r="EE22" s="30">
        <v>0.057500000000000009</v>
      </c>
      <c r="EF22" s="30">
        <v>0.41599999999999998</v>
      </c>
      <c r="EG22" s="30">
        <v>0.23000000000000001</v>
      </c>
      <c r="EH22" s="30">
        <v>0.624</v>
      </c>
      <c r="EI22" s="30">
        <v>42.182583962367353</v>
      </c>
      <c r="EJ22" s="30">
        <v>18.963200457785295</v>
      </c>
      <c r="EK22" s="30">
        <v>57.817416037632647</v>
      </c>
      <c r="EL22" s="30">
        <v>-1.5632353692939802</v>
      </c>
      <c r="EM22" s="30">
        <v>-1.6747019338913043</v>
      </c>
      <c r="EN22" s="30">
        <v>0.3455089983404353</v>
      </c>
      <c r="EO22" s="30">
        <v>1</v>
      </c>
    </row>
    <row r="23" ht="14.25">
      <c r="A23" s="42" t="s">
        <v>139</v>
      </c>
      <c r="B23" s="43">
        <v>1</v>
      </c>
      <c r="C23" s="43">
        <v>7.0099999999999998</v>
      </c>
      <c r="D23" s="30">
        <v>1.1653333333333336</v>
      </c>
      <c r="E23" s="30">
        <v>1.296</v>
      </c>
      <c r="F23" s="30">
        <v>2.5140000000000002</v>
      </c>
      <c r="G23" s="30">
        <v>0.052666666666666667</v>
      </c>
      <c r="H23" s="30">
        <v>10.428683536238674</v>
      </c>
      <c r="I23" s="30">
        <v>17.36130664326587</v>
      </c>
      <c r="J23" s="30">
        <v>0.54800000000000004</v>
      </c>
      <c r="K23" s="30">
        <v>48.497081918933219</v>
      </c>
      <c r="L23" s="30">
        <f>J23/F23</f>
        <v>0.21797931583134447</v>
      </c>
      <c r="M23" s="30">
        <v>-1.7354409376398392</v>
      </c>
      <c r="N23" s="31">
        <v>0.14222809972075084</v>
      </c>
      <c r="O23" s="30">
        <v>1.0913999999999999</v>
      </c>
      <c r="P23" s="30">
        <v>1.2906000000000002</v>
      </c>
      <c r="Q23" s="30">
        <v>2.4443999999999999</v>
      </c>
      <c r="R23" s="30">
        <v>0.062399999999999997</v>
      </c>
      <c r="S23" s="30">
        <v>10.462974147175954</v>
      </c>
      <c r="T23" s="30">
        <v>17.156029609265314</v>
      </c>
      <c r="U23" s="30">
        <v>0.54359999999999997</v>
      </c>
      <c r="V23" s="30">
        <v>50.632819024702769</v>
      </c>
      <c r="W23" s="30">
        <f>U23/Q23</f>
        <v>0.22238586156111928</v>
      </c>
      <c r="X23" s="30">
        <v>-1.6675489734173266</v>
      </c>
      <c r="Y23" s="31">
        <v>0.19401124131606862</v>
      </c>
      <c r="Z23" s="32">
        <f>F23-Q23</f>
        <v>0.069600000000000328</v>
      </c>
      <c r="AA23" s="30">
        <v>1.8353999999999999</v>
      </c>
      <c r="AB23" s="30">
        <v>3.6498000000000004</v>
      </c>
      <c r="AC23" s="30">
        <v>0.012</v>
      </c>
      <c r="AD23" s="30">
        <v>1.1081999999999999</v>
      </c>
      <c r="AE23" s="30">
        <v>0.72720000000000007</v>
      </c>
      <c r="AF23" s="30">
        <v>11.393126371265438</v>
      </c>
      <c r="AG23" s="30">
        <f>AF23/AA23</f>
        <v>6.2074350938571641</v>
      </c>
      <c r="AH23" s="30">
        <v>-2.4967349467163791</v>
      </c>
      <c r="AI23" s="44">
        <f>(AE23/AA23)*100</f>
        <v>39.620791108205303</v>
      </c>
      <c r="AJ23" s="30">
        <v>2.0718000000000005</v>
      </c>
      <c r="AK23" s="30">
        <v>4.483200000000001</v>
      </c>
      <c r="AL23" s="30">
        <v>0.012</v>
      </c>
      <c r="AM23" s="30">
        <v>1.2713999999999999</v>
      </c>
      <c r="AN23" s="30">
        <v>0.80040000000000011</v>
      </c>
      <c r="AO23" s="30">
        <v>11.949490819276383</v>
      </c>
      <c r="AP23" s="30">
        <f>AN23/AJ23</f>
        <v>0.38633072690414128</v>
      </c>
      <c r="AQ23" s="30">
        <v>-2.4149426444169211</v>
      </c>
      <c r="AR23" s="45">
        <f>(AN23/AJ23)*100</f>
        <v>38.633072690414124</v>
      </c>
      <c r="AS23" s="46">
        <f>AJ23-AA23</f>
        <v>0.23640000000000061</v>
      </c>
      <c r="AT23" s="30">
        <f>AN23-AE23</f>
        <v>0.073200000000000043</v>
      </c>
      <c r="AU23" s="30">
        <v>1.1439168733513041</v>
      </c>
      <c r="AV23" s="30">
        <v>0.46857511292169202</v>
      </c>
      <c r="AW23" s="30">
        <v>0.18126021438077922</v>
      </c>
      <c r="AX23" s="31">
        <v>0.18132999721727708</v>
      </c>
      <c r="AY23" s="30">
        <v>3.8160000000000003</v>
      </c>
      <c r="AZ23" s="30">
        <v>1.9728000000000001</v>
      </c>
      <c r="BA23" s="30">
        <v>9.5726026900402452</v>
      </c>
      <c r="BB23" s="30">
        <v>2.5641775655448087</v>
      </c>
      <c r="BC23" s="39">
        <v>-2.7560858004684521</v>
      </c>
      <c r="BD23" s="30">
        <v>3.9960000000000009</v>
      </c>
      <c r="BE23" s="30">
        <v>1.9320000000000004</v>
      </c>
      <c r="BF23" s="30">
        <v>19.383580376010894</v>
      </c>
      <c r="BG23" s="30">
        <v>4.8749240365778777</v>
      </c>
      <c r="BH23" s="39">
        <v>-2.5595191331394602</v>
      </c>
      <c r="BI23" s="30">
        <v>4.0835999999999997</v>
      </c>
      <c r="BJ23" s="30">
        <v>2.0700000000000003</v>
      </c>
      <c r="BK23" s="30">
        <v>28.451822799768944</v>
      </c>
      <c r="BL23" s="30">
        <v>7.363523054953669</v>
      </c>
      <c r="BM23" s="39">
        <v>-2.5679433534571561</v>
      </c>
      <c r="BN23" s="30">
        <v>8.9652000000000012</v>
      </c>
      <c r="BO23" s="30">
        <v>4.8216000000000001</v>
      </c>
      <c r="BP23" s="30">
        <v>38.039235379134603</v>
      </c>
      <c r="BQ23" s="30">
        <v>5.2449753928848599</v>
      </c>
      <c r="BR23" s="39">
        <v>-2.5833930011635431</v>
      </c>
      <c r="BS23" s="30">
        <v>5.532</v>
      </c>
      <c r="BT23" s="30">
        <v>3.0765000000000002</v>
      </c>
      <c r="BU23" s="30">
        <v>47.620190876266591</v>
      </c>
      <c r="BV23" s="30">
        <v>8.8306839800552215</v>
      </c>
      <c r="BW23" s="39">
        <v>-2.3622902631351104</v>
      </c>
      <c r="BX23" s="30">
        <v>0.45933124103925099</v>
      </c>
      <c r="BY23" s="30">
        <v>0.33087055051070668</v>
      </c>
      <c r="BZ23" s="30">
        <v>0.36739383612032506</v>
      </c>
      <c r="CA23" s="30">
        <v>1.6400000000000001</v>
      </c>
      <c r="CB23" s="30">
        <v>1.095</v>
      </c>
      <c r="CC23" s="30">
        <v>0.54500000000000004</v>
      </c>
      <c r="CD23" s="30">
        <v>8.4725422417730378</v>
      </c>
      <c r="CE23" s="30">
        <v>8.0015394900597556</v>
      </c>
      <c r="CF23" s="30">
        <v>0.052000000000000005</v>
      </c>
      <c r="CG23" s="30">
        <v>3.0735271607918211</v>
      </c>
      <c r="CH23" s="30">
        <v>0.47999999999999998</v>
      </c>
      <c r="CI23" s="30">
        <v>0.21150000000000002</v>
      </c>
      <c r="CJ23" s="30">
        <v>0.61499999999999999</v>
      </c>
      <c r="CK23" s="30">
        <v>45.641715632027577</v>
      </c>
      <c r="CL23" s="30">
        <v>21.560282974144499</v>
      </c>
      <c r="CM23" s="30">
        <v>54.358284367972416</v>
      </c>
      <c r="CN23" s="30">
        <v>-1.7007114000137342</v>
      </c>
      <c r="CO23" s="30">
        <v>-1.6621163854866663</v>
      </c>
      <c r="CP23" s="30">
        <v>0.12649792796492176</v>
      </c>
      <c r="CQ23" s="31">
        <v>1.25</v>
      </c>
      <c r="CR23" s="30">
        <v>2.5254999999999996</v>
      </c>
      <c r="CS23" s="30">
        <v>1.7175000000000005</v>
      </c>
      <c r="CT23" s="30">
        <v>0.80800000000000005</v>
      </c>
      <c r="CU23" s="30">
        <v>16.526112817649466</v>
      </c>
      <c r="CV23" s="30">
        <v>11.156894436485885</v>
      </c>
      <c r="CW23" s="30">
        <v>0.049999999999999996</v>
      </c>
      <c r="CX23" s="30">
        <v>4.0324400947276331</v>
      </c>
      <c r="CY23" s="30">
        <v>0.77549999999999997</v>
      </c>
      <c r="CZ23" s="30">
        <v>0.53549999999999998</v>
      </c>
      <c r="DA23" s="30">
        <v>0.94200000000000017</v>
      </c>
      <c r="DB23" s="30">
        <v>45.367739586416455</v>
      </c>
      <c r="DC23" s="30">
        <v>31.209274821953937</v>
      </c>
      <c r="DD23" s="30">
        <v>54.632260413583552</v>
      </c>
      <c r="DE23" s="30">
        <v>-1.5717468950200351</v>
      </c>
      <c r="DF23" s="30">
        <v>-1.6982855696868928</v>
      </c>
      <c r="DG23" s="30">
        <v>0.1993550509896353</v>
      </c>
      <c r="DH23" s="30">
        <v>1.75</v>
      </c>
      <c r="DI23" s="30">
        <v>2.1905000000000001</v>
      </c>
      <c r="DJ23" s="30">
        <v>1.6440000000000001</v>
      </c>
      <c r="DK23" s="30">
        <v>0.54649999999999999</v>
      </c>
      <c r="DL23" s="30">
        <v>9.2578755388329057</v>
      </c>
      <c r="DM23" s="30">
        <v>5.6928239068293145</v>
      </c>
      <c r="DN23" s="30">
        <v>0.056500000000000009</v>
      </c>
      <c r="DO23" s="30">
        <v>5.1868413440319259</v>
      </c>
      <c r="DP23" s="30">
        <v>0.45000000000000001</v>
      </c>
      <c r="DQ23" s="30">
        <v>-0.29699999999999999</v>
      </c>
      <c r="DR23" s="30">
        <v>1.1940000000000002</v>
      </c>
      <c r="DS23" s="30">
        <v>26.704008555545567</v>
      </c>
      <c r="DT23" s="30">
        <v>-16.961833546285067</v>
      </c>
      <c r="DU23" s="30">
        <v>73.29599144445443</v>
      </c>
      <c r="DV23" s="30">
        <v>-1.7215606418798681</v>
      </c>
      <c r="DW23" s="30">
        <v>-1.6669369559499896</v>
      </c>
      <c r="DX23" s="30">
        <v>0.1185548290268396</v>
      </c>
      <c r="DY23" s="30">
        <v>2.5</v>
      </c>
      <c r="DZ23" s="30">
        <v>3.3850000000000007</v>
      </c>
      <c r="EA23" s="30">
        <v>1.7175000000000005</v>
      </c>
      <c r="EB23" s="30">
        <v>1.6674999999999998</v>
      </c>
      <c r="EC23" s="30">
        <v>16.473733468056466</v>
      </c>
      <c r="ED23" s="30">
        <v>9.7832965254348494</v>
      </c>
      <c r="EE23" s="30">
        <v>0.041000000000000002</v>
      </c>
      <c r="EF23" s="30">
        <v>0.79049999999999998</v>
      </c>
      <c r="EG23" s="30">
        <v>0.42899999999999999</v>
      </c>
      <c r="EH23" s="30">
        <v>0.92699999999999994</v>
      </c>
      <c r="EI23" s="30">
        <v>46.295999722480204</v>
      </c>
      <c r="EJ23" s="30">
        <v>25.042474214505884</v>
      </c>
      <c r="EK23" s="30">
        <v>53.704000277519796</v>
      </c>
      <c r="EL23" s="30">
        <v>-1.6543233359991021</v>
      </c>
      <c r="EM23" s="30">
        <v>-1.7400404945660533</v>
      </c>
      <c r="EN23" s="30">
        <v>0.19200218496785881</v>
      </c>
      <c r="EO23" s="30">
        <v>2</v>
      </c>
    </row>
    <row r="24" ht="14.25">
      <c r="A24" s="42" t="s">
        <v>138</v>
      </c>
      <c r="B24" s="47">
        <v>1</v>
      </c>
      <c r="C24" s="48">
        <v>7.0099999999999998</v>
      </c>
      <c r="D24" s="30">
        <v>0.55866666666666687</v>
      </c>
      <c r="E24" s="30">
        <v>1.1100000000000003</v>
      </c>
      <c r="F24" s="30">
        <v>1.7986666666666666</v>
      </c>
      <c r="G24" s="30">
        <v>0.13</v>
      </c>
      <c r="H24" s="30">
        <v>10.507739825372761</v>
      </c>
      <c r="I24" s="30">
        <v>17.965303203334923</v>
      </c>
      <c r="J24" s="30">
        <v>0.31266666666666665</v>
      </c>
      <c r="K24" s="30">
        <v>54.808467924493463</v>
      </c>
      <c r="L24" s="30">
        <f>J24/F24</f>
        <v>0.17383246849518161</v>
      </c>
      <c r="M24" s="30">
        <v>-1.4603996790942158</v>
      </c>
      <c r="N24" s="31">
        <v>0.22692010429570861</v>
      </c>
      <c r="O24" s="30">
        <v>0.57266666666666677</v>
      </c>
      <c r="P24" s="30">
        <v>1.0873333333333335</v>
      </c>
      <c r="Q24" s="30">
        <v>1.7640000000000002</v>
      </c>
      <c r="R24" s="30">
        <v>0.10400000000000001</v>
      </c>
      <c r="S24" s="30">
        <v>10.607472878629627</v>
      </c>
      <c r="T24" s="30">
        <v>18.773969560912374</v>
      </c>
      <c r="U24" s="30">
        <v>0.27333333333333332</v>
      </c>
      <c r="V24" s="30">
        <v>48.599528339983856</v>
      </c>
      <c r="W24" s="30">
        <f>U24/Q24</f>
        <v>0.15495086923658349</v>
      </c>
      <c r="X24" s="30">
        <v>-1.535499775443514</v>
      </c>
      <c r="Y24" s="31">
        <v>0.19198184017688089</v>
      </c>
      <c r="Z24" s="32">
        <f>F24-Q24</f>
        <v>0.034666666666666401</v>
      </c>
      <c r="AA24" s="30">
        <v>1.3746666666666667</v>
      </c>
      <c r="AB24" s="30">
        <v>3.2033333333333331</v>
      </c>
      <c r="AC24" s="30">
        <v>0.060666666666666674</v>
      </c>
      <c r="AD24" s="30">
        <v>0.71933333333333338</v>
      </c>
      <c r="AE24" s="30">
        <v>0.65533333333333343</v>
      </c>
      <c r="AF24" s="30">
        <v>12.230750781417129</v>
      </c>
      <c r="AG24" s="30">
        <f>AF24/AA24</f>
        <v>8.8972483860939349</v>
      </c>
      <c r="AH24" s="30">
        <v>-2.2047852797173548</v>
      </c>
      <c r="AI24" s="44">
        <f>(AE24/AA24)*100</f>
        <v>47.672162948593602</v>
      </c>
      <c r="AJ24" s="30">
        <v>1.1892</v>
      </c>
      <c r="AK24" s="30">
        <v>2.9034000000000004</v>
      </c>
      <c r="AL24" s="30">
        <v>0.028800000000000003</v>
      </c>
      <c r="AM24" s="30">
        <v>0.58020000000000016</v>
      </c>
      <c r="AN24" s="30">
        <v>0.6090000000000001</v>
      </c>
      <c r="AO24" s="30">
        <v>13.03448321763398</v>
      </c>
      <c r="AP24" s="30">
        <f>AN24/AJ24</f>
        <v>0.51210898082744705</v>
      </c>
      <c r="AQ24" s="30">
        <v>-2.1226057787950694</v>
      </c>
      <c r="AR24" s="45">
        <f>(AN24/AJ24)*100</f>
        <v>51.210898082744706</v>
      </c>
      <c r="AS24" s="46">
        <f>AJ24-AA24</f>
        <v>-0.18546666666666667</v>
      </c>
      <c r="AT24" s="30">
        <f>AN24-AE24</f>
        <v>-0.046333333333333337</v>
      </c>
      <c r="AU24" s="30">
        <v>1.4983495178742068</v>
      </c>
      <c r="AV24" s="30">
        <v>0.20424125357731829</v>
      </c>
      <c r="AW24" s="30">
        <v>0.014872299934770683</v>
      </c>
      <c r="AX24" s="31">
        <v>0.01488090487963542</v>
      </c>
      <c r="AY24" s="30">
        <v>2.9939999999999998</v>
      </c>
      <c r="AZ24" s="30">
        <v>1.720666666666667</v>
      </c>
      <c r="BA24" s="30">
        <v>11.816335700149333</v>
      </c>
      <c r="BB24" s="30">
        <v>7.4644329489893915</v>
      </c>
      <c r="BC24" s="39">
        <v>-2.7380244163177547</v>
      </c>
      <c r="BD24" s="30">
        <v>1.7855999999999999</v>
      </c>
      <c r="BE24" s="30">
        <v>0.79320000000000002</v>
      </c>
      <c r="BF24" s="30">
        <v>19.231364477631111</v>
      </c>
      <c r="BG24" s="30">
        <v>13.10284032284315</v>
      </c>
      <c r="BH24" s="39">
        <v>-2.3296696853221066</v>
      </c>
      <c r="BI24" s="30">
        <v>3.1460000000000004</v>
      </c>
      <c r="BJ24" s="30">
        <v>1.5780000000000001</v>
      </c>
      <c r="BK24" s="30">
        <v>29.290913719660612</v>
      </c>
      <c r="BL24" s="30">
        <v>9.4854180273171824</v>
      </c>
      <c r="BM24" s="39">
        <v>-2.6964085613026429</v>
      </c>
      <c r="BN24" s="30">
        <v>5.4180000000000001</v>
      </c>
      <c r="BO24" s="30">
        <v>2.5656000000000003</v>
      </c>
      <c r="BP24" s="30">
        <v>39.498279548101422</v>
      </c>
      <c r="BQ24" s="30">
        <v>10.961364006750477</v>
      </c>
      <c r="BR24" s="39">
        <v>-2.6924375774656242</v>
      </c>
      <c r="BS24" s="30">
        <v>1.5635999999999999</v>
      </c>
      <c r="BT24" s="30">
        <v>0.8256</v>
      </c>
      <c r="BU24" s="30">
        <v>44.786515513826878</v>
      </c>
      <c r="BV24" s="30">
        <v>30.499594843472131</v>
      </c>
      <c r="BW24" s="39">
        <v>-2.0223365116265635</v>
      </c>
      <c r="BX24" s="49">
        <v>0.17661606931290652</v>
      </c>
      <c r="BY24" s="49">
        <v>0.92826602438553618</v>
      </c>
      <c r="BZ24" s="49">
        <v>0.11790541460617776</v>
      </c>
      <c r="CA24" s="30">
        <v>1.5037499999999999</v>
      </c>
      <c r="CB24" s="30">
        <v>0.79349999999999998</v>
      </c>
      <c r="CC24" s="30">
        <v>0.71025000000000005</v>
      </c>
      <c r="CD24" s="30">
        <v>9.4447787242441752</v>
      </c>
      <c r="CE24" s="30">
        <v>12.479135302189039</v>
      </c>
      <c r="CF24" s="30">
        <v>0.056250000000000008</v>
      </c>
      <c r="CG24" s="30">
        <v>3.2121869289058873</v>
      </c>
      <c r="CH24" s="30">
        <v>0.38100000000000001</v>
      </c>
      <c r="CI24" s="30">
        <v>0.21749999999999997</v>
      </c>
      <c r="CJ24" s="30">
        <v>0.41249999999999998</v>
      </c>
      <c r="CK24" s="30">
        <v>49.045397506949811</v>
      </c>
      <c r="CL24" s="30">
        <v>27.241636432542908</v>
      </c>
      <c r="CM24" s="30">
        <v>50.954602493050189</v>
      </c>
      <c r="CN24" s="30">
        <v>-1.450986885826175</v>
      </c>
      <c r="CO24" s="30">
        <v>-1.5446951217773426</v>
      </c>
      <c r="CP24" s="30">
        <v>0.11331551724471026</v>
      </c>
      <c r="CQ24" s="31">
        <v>1</v>
      </c>
      <c r="CR24" s="30">
        <v>1.6335000000000002</v>
      </c>
      <c r="CS24" s="30">
        <v>0.86550000000000016</v>
      </c>
      <c r="CT24" s="30">
        <v>0.76800000000000002</v>
      </c>
      <c r="CU24" s="30">
        <v>17.217226392045305</v>
      </c>
      <c r="CV24" s="30">
        <v>21.034410469797379</v>
      </c>
      <c r="CW24" s="30">
        <v>0.033000000000000002</v>
      </c>
      <c r="CX24" s="30">
        <v>4.0992842572955173</v>
      </c>
      <c r="CY24" s="30">
        <v>0.44400000000000006</v>
      </c>
      <c r="CZ24" s="30">
        <v>0.1545</v>
      </c>
      <c r="DA24" s="30">
        <v>0.4215000000000001</v>
      </c>
      <c r="DB24" s="30">
        <v>53.502410579616459</v>
      </c>
      <c r="DC24" s="30">
        <v>17.154393808805573</v>
      </c>
      <c r="DD24" s="30">
        <v>46.497589420383534</v>
      </c>
      <c r="DE24" s="30">
        <v>-1.5162056636766468</v>
      </c>
      <c r="DF24" s="30">
        <v>-1.6127706933973811</v>
      </c>
      <c r="DG24" s="30">
        <v>0.17833705839415609</v>
      </c>
      <c r="DH24" s="30">
        <v>0.25</v>
      </c>
      <c r="DI24" s="30">
        <v>1.8795000000000002</v>
      </c>
      <c r="DJ24" s="30">
        <v>0.69000000000000006</v>
      </c>
      <c r="DK24" s="30">
        <v>1.0185</v>
      </c>
      <c r="DL24" s="30">
        <v>8.9134835466552644</v>
      </c>
      <c r="DM24" s="30">
        <v>13.177191998280788</v>
      </c>
      <c r="DN24" s="30">
        <v>0.070499999999999993</v>
      </c>
      <c r="DO24" s="30">
        <v>5.1615201321630026</v>
      </c>
      <c r="DP24" s="30">
        <v>0.35400000000000004</v>
      </c>
      <c r="DQ24" s="30">
        <v>0.159</v>
      </c>
      <c r="DR24" s="30">
        <v>0.42900000000000005</v>
      </c>
      <c r="DS24" s="30">
        <v>41.310794125982866</v>
      </c>
      <c r="DT24" s="30">
        <v>19.492878870543393</v>
      </c>
      <c r="DU24" s="30">
        <v>58.689205874017134</v>
      </c>
      <c r="DV24" s="30">
        <v>-1.4519992022727153</v>
      </c>
      <c r="DW24" s="30">
        <v>-1.5236150223241618</v>
      </c>
      <c r="DX24" s="30">
        <v>0.17034807638278027</v>
      </c>
      <c r="DY24" s="30">
        <v>0.75</v>
      </c>
      <c r="DZ24" s="30">
        <v>1.9740000000000002</v>
      </c>
      <c r="EA24" s="30">
        <v>1.1360000000000001</v>
      </c>
      <c r="EB24" s="30">
        <v>0.70950000000000002</v>
      </c>
      <c r="EC24" s="30">
        <v>17.02344040803596</v>
      </c>
      <c r="ED24" s="30">
        <v>15.724497269800461</v>
      </c>
      <c r="EE24" s="30">
        <v>0.039000000000000007</v>
      </c>
      <c r="EF24" s="30">
        <v>0.46950000000000003</v>
      </c>
      <c r="EG24" s="30">
        <v>0.15600000000000003</v>
      </c>
      <c r="EH24" s="30">
        <v>0.68000000000000005</v>
      </c>
      <c r="EI24" s="30">
        <v>39.338389038366351</v>
      </c>
      <c r="EJ24" s="30">
        <v>13.067863737895498</v>
      </c>
      <c r="EK24" s="30">
        <v>60.661610961633656</v>
      </c>
      <c r="EL24" s="30">
        <v>-1.5659301310125731</v>
      </c>
      <c r="EM24" s="30">
        <v>-1.6519885270102752</v>
      </c>
      <c r="EN24" s="30">
        <v>0.20225816224078758</v>
      </c>
      <c r="EO24" s="30">
        <v>1.25</v>
      </c>
    </row>
    <row r="25" ht="14.25">
      <c r="A25" s="43" t="s">
        <v>139</v>
      </c>
      <c r="B25" s="43">
        <v>2</v>
      </c>
      <c r="C25" s="55">
        <v>7.0300000000000002</v>
      </c>
      <c r="D25" s="30">
        <v>0.98133333333333339</v>
      </c>
      <c r="E25" s="30">
        <v>1.6900000000000004</v>
      </c>
      <c r="F25" s="30">
        <v>2.674666666666667</v>
      </c>
      <c r="G25" s="30">
        <v>0.0033333333333333335</v>
      </c>
      <c r="H25" s="30">
        <v>10.283176169972121</v>
      </c>
      <c r="I25" s="30">
        <v>17.975625735553969</v>
      </c>
      <c r="J25" s="30">
        <v>0.47266666666666673</v>
      </c>
      <c r="K25" s="30">
        <v>46.781867660370267</v>
      </c>
      <c r="L25" s="30">
        <f>J25/F25</f>
        <v>0.17671984047856432</v>
      </c>
      <c r="M25" s="30">
        <v>-1.5805425493382477</v>
      </c>
      <c r="N25" s="31">
        <v>0.18686110220510999</v>
      </c>
      <c r="O25" s="30">
        <v>0.97620000000000007</v>
      </c>
      <c r="P25" s="30">
        <v>1.4196</v>
      </c>
      <c r="Q25" s="30">
        <v>2.4083999999999994</v>
      </c>
      <c r="R25" s="30">
        <v>0.0126</v>
      </c>
      <c r="S25" s="30">
        <v>10.514031872012863</v>
      </c>
      <c r="T25" s="30">
        <v>17.664098833388774</v>
      </c>
      <c r="U25" s="30">
        <v>0.45899999999999996</v>
      </c>
      <c r="V25" s="30">
        <v>45.579549032375965</v>
      </c>
      <c r="W25" s="30">
        <f>U25/Q25</f>
        <v>0.19058295964125563</v>
      </c>
      <c r="X25" s="30">
        <v>-1.6171842690497649</v>
      </c>
      <c r="Y25" s="31">
        <v>0.20823354881283812</v>
      </c>
      <c r="Z25" s="32">
        <f>F25-Q25</f>
        <v>0.26626666666666754</v>
      </c>
      <c r="AA25" s="30">
        <v>3.9973333333333332</v>
      </c>
      <c r="AB25" s="30">
        <v>7.6153333333333348</v>
      </c>
      <c r="AC25" s="30">
        <v>0.23000000000000004</v>
      </c>
      <c r="AD25" s="30">
        <v>2.2393333333333336</v>
      </c>
      <c r="AE25" s="30">
        <v>1.758</v>
      </c>
      <c r="AF25" s="30">
        <v>11.809522210341905</v>
      </c>
      <c r="AG25" s="30">
        <f>AF25/AA25</f>
        <v>2.9543501193316977</v>
      </c>
      <c r="AH25" s="30">
        <v>-2.8616185382931709</v>
      </c>
      <c r="AI25" s="44">
        <f>(AE25/AA25)*100</f>
        <v>43.979319546364245</v>
      </c>
      <c r="AJ25" s="30">
        <v>4.0140000000000002</v>
      </c>
      <c r="AK25" s="30">
        <v>8.1274285714285721</v>
      </c>
      <c r="AL25" s="30">
        <v>0.090857142857142872</v>
      </c>
      <c r="AM25" s="30">
        <v>2.0982857142857148</v>
      </c>
      <c r="AN25" s="30">
        <v>1.9157142857142859</v>
      </c>
      <c r="AO25" s="30">
        <v>11.788760860910827</v>
      </c>
      <c r="AP25" s="30">
        <f>AN25/AJ25</f>
        <v>0.47725816784112751</v>
      </c>
      <c r="AQ25" s="30">
        <v>-2.8496384454240213</v>
      </c>
      <c r="AR25" s="45">
        <f>(AN25/AJ25)*100</f>
        <v>47.725816784112752</v>
      </c>
      <c r="AS25" s="46">
        <f>AJ25-AA25</f>
        <v>0.016666666666667052</v>
      </c>
      <c r="AT25" s="30">
        <f>AN25-AE25</f>
        <v>0.15771428571428592</v>
      </c>
      <c r="AU25" s="30">
        <v>2.3879540704692728</v>
      </c>
      <c r="AV25" s="30">
        <v>0.40427689163952385</v>
      </c>
      <c r="AW25" s="30">
        <v>0.44935369125348557</v>
      </c>
      <c r="AX25" s="31">
        <v>0.44944714800148106</v>
      </c>
      <c r="AY25" s="30">
        <v>5.8620000000000001</v>
      </c>
      <c r="AZ25" s="30">
        <v>2.7963999999999998</v>
      </c>
      <c r="BA25" s="30">
        <v>10.502851302982595</v>
      </c>
      <c r="BB25" s="30">
        <v>1.8130912304395601</v>
      </c>
      <c r="BC25" s="39">
        <v>-2.8852422998971816</v>
      </c>
      <c r="BD25" s="30">
        <v>7.7064000000000004</v>
      </c>
      <c r="BE25" s="30">
        <v>3.9120000000000004</v>
      </c>
      <c r="BF25" s="30">
        <v>19.300200795418434</v>
      </c>
      <c r="BG25" s="30">
        <v>2.5560805922755181</v>
      </c>
      <c r="BH25" s="39">
        <v>-2.9278697663162685</v>
      </c>
      <c r="BI25" s="30">
        <v>10.4688</v>
      </c>
      <c r="BJ25" s="30">
        <v>5.1756000000000011</v>
      </c>
      <c r="BK25" s="30">
        <v>29.15012774879051</v>
      </c>
      <c r="BL25" s="30">
        <v>3.0395815781133413</v>
      </c>
      <c r="BM25" s="39">
        <v>-2.9459982326371659</v>
      </c>
      <c r="BN25" s="30">
        <v>9.9210000000000012</v>
      </c>
      <c r="BO25" s="30">
        <v>4.3725000000000005</v>
      </c>
      <c r="BP25" s="30">
        <v>39.205175595101267</v>
      </c>
      <c r="BQ25" s="30">
        <v>4.0607546649049944</v>
      </c>
      <c r="BR25" s="39">
        <v>-3.0999142961301809</v>
      </c>
      <c r="BS25" s="30">
        <v>11.332800000000001</v>
      </c>
      <c r="BT25" s="30">
        <v>5.6772000000000009</v>
      </c>
      <c r="BU25" s="30">
        <v>49.027395713718974</v>
      </c>
      <c r="BV25" s="30">
        <v>4.4924071847081901</v>
      </c>
      <c r="BW25" s="39">
        <v>-2.9331270115855652</v>
      </c>
      <c r="BX25" s="30">
        <v>0.27558822736122757</v>
      </c>
      <c r="BY25" s="30">
        <v>0.78964451820720227</v>
      </c>
      <c r="BZ25" s="30">
        <v>0.34755156974967072</v>
      </c>
      <c r="CA25" s="30">
        <v>1.6312500000000001</v>
      </c>
      <c r="CB25" s="30">
        <v>1.3200000000000001</v>
      </c>
      <c r="CC25" s="30">
        <v>0.31125000000000008</v>
      </c>
      <c r="CD25" s="30">
        <v>9.0309566790115507</v>
      </c>
      <c r="CE25" s="30">
        <v>7.3587022749019955</v>
      </c>
      <c r="CF25" s="30">
        <v>0.063749999999999987</v>
      </c>
      <c r="CG25" s="30">
        <v>3.1427394175212213</v>
      </c>
      <c r="CH25" s="30">
        <v>0.71100000000000008</v>
      </c>
      <c r="CI25" s="30">
        <v>0.35850000000000004</v>
      </c>
      <c r="CJ25" s="30">
        <v>0.60899999999999999</v>
      </c>
      <c r="CK25" s="30">
        <v>51.611503725077839</v>
      </c>
      <c r="CL25" s="30">
        <v>25.638966690618524</v>
      </c>
      <c r="CM25" s="30">
        <v>48.388496274922161</v>
      </c>
      <c r="CN25" s="30">
        <v>-1.6549413243011777</v>
      </c>
      <c r="CO25" s="30">
        <v>-1.7645800173349371</v>
      </c>
      <c r="CP25" s="30">
        <v>0.11752650423081668</v>
      </c>
      <c r="CQ25" s="31">
        <v>2.6666666666666665</v>
      </c>
      <c r="CR25" s="30">
        <v>2.1197500000000002</v>
      </c>
      <c r="CS25" s="30">
        <v>1.6649999999999998</v>
      </c>
      <c r="CT25" s="30">
        <v>0.45474999999999993</v>
      </c>
      <c r="CU25" s="30">
        <v>17.350345709865184</v>
      </c>
      <c r="CV25" s="30">
        <v>10.678875676907598</v>
      </c>
      <c r="CW25" s="30">
        <v>0.059749999999999991</v>
      </c>
      <c r="CX25" s="30">
        <v>4.1036508193901211</v>
      </c>
      <c r="CY25" s="30">
        <v>0.70050000000000001</v>
      </c>
      <c r="CZ25" s="30">
        <v>0.48900000000000005</v>
      </c>
      <c r="DA25" s="30">
        <v>0.96450000000000014</v>
      </c>
      <c r="DB25" s="30">
        <v>43.677546540922343</v>
      </c>
      <c r="DC25" s="30">
        <v>30.814973674514022</v>
      </c>
      <c r="DD25" s="30">
        <v>56.322453459077657</v>
      </c>
      <c r="DE25" s="30">
        <v>-1.7599902294831331</v>
      </c>
      <c r="DF25" s="30">
        <v>-1.7278018923013057</v>
      </c>
      <c r="DG25" s="30">
        <v>0.14773651427346676</v>
      </c>
      <c r="DH25" s="30">
        <v>1.75</v>
      </c>
      <c r="DI25" s="30">
        <v>1.8057500000000002</v>
      </c>
      <c r="DJ25" s="30">
        <v>1.3650000000000002</v>
      </c>
      <c r="DK25" s="30">
        <v>0.57574999999999998</v>
      </c>
      <c r="DL25" s="30">
        <v>9.0733466001497369</v>
      </c>
      <c r="DM25" s="30">
        <v>6.6651459018755821</v>
      </c>
      <c r="DN25" s="30">
        <v>0.030250000000000006</v>
      </c>
      <c r="DO25" s="30">
        <v>5.215684557941346</v>
      </c>
      <c r="DP25" s="30">
        <v>0.57000000000000006</v>
      </c>
      <c r="DQ25" s="30">
        <v>0.57300000000000006</v>
      </c>
      <c r="DR25" s="30">
        <v>0.63900000000000001</v>
      </c>
      <c r="DS25" s="30">
        <v>45.369173209339614</v>
      </c>
      <c r="DT25" s="30">
        <v>44.571922784036346</v>
      </c>
      <c r="DU25" s="30">
        <v>54.630826790660386</v>
      </c>
      <c r="DV25" s="30">
        <v>-1.6796063025285015</v>
      </c>
      <c r="DW25" s="30">
        <v>-1.7217815629484075</v>
      </c>
      <c r="DX25" s="30">
        <v>0.11005808333238494</v>
      </c>
      <c r="DY25" s="30">
        <v>0.75</v>
      </c>
      <c r="DZ25" s="30">
        <v>2.7672500000000002</v>
      </c>
      <c r="EA25" s="30">
        <v>1.6728750000000001</v>
      </c>
      <c r="EB25" s="30">
        <v>1.0943750000000001</v>
      </c>
      <c r="EC25" s="30">
        <v>16.917730943344552</v>
      </c>
      <c r="ED25" s="30">
        <v>10.334539991984204</v>
      </c>
      <c r="EE25" s="30">
        <v>0.037000000000000005</v>
      </c>
      <c r="EF25" s="30">
        <v>0.47550000000000003</v>
      </c>
      <c r="EG25" s="30">
        <v>0.42337500000000006</v>
      </c>
      <c r="EH25" s="30">
        <v>1.1973750000000001</v>
      </c>
      <c r="EI25" s="30">
        <v>27.828343313231557</v>
      </c>
      <c r="EJ25" s="30">
        <v>24.608873655068983</v>
      </c>
      <c r="EK25" s="30">
        <v>72.171656686768429</v>
      </c>
      <c r="EL25" s="30">
        <v>-1.7139639243336247</v>
      </c>
      <c r="EM25" s="30">
        <v>-1.5691389948413375</v>
      </c>
      <c r="EN25" s="30">
        <v>0.29257477776158769</v>
      </c>
      <c r="EO25" s="30">
        <v>3.25</v>
      </c>
    </row>
    <row r="26" ht="14.25">
      <c r="A26" s="42" t="s">
        <v>138</v>
      </c>
      <c r="B26" s="52">
        <v>2</v>
      </c>
      <c r="C26" s="55">
        <v>7.0300000000000002</v>
      </c>
      <c r="D26" s="30">
        <v>1.1719999999999997</v>
      </c>
      <c r="E26" s="30">
        <v>1.3939999999999999</v>
      </c>
      <c r="F26" s="30">
        <v>2.5966666666666667</v>
      </c>
      <c r="G26" s="30">
        <v>0.030666666666666668</v>
      </c>
      <c r="H26" s="30">
        <v>10.484158722927326</v>
      </c>
      <c r="I26" s="30">
        <v>17.97050311719428</v>
      </c>
      <c r="J26" s="30">
        <v>0.65733333333333333</v>
      </c>
      <c r="K26" s="30">
        <v>54.355004035311012</v>
      </c>
      <c r="L26" s="30">
        <f>J26/F26</f>
        <v>0.25314505776636714</v>
      </c>
      <c r="M26" s="30">
        <v>-1.6242191914156268</v>
      </c>
      <c r="N26" s="31">
        <v>0.13867108368227904</v>
      </c>
      <c r="O26" s="30">
        <v>1.1066666666666667</v>
      </c>
      <c r="P26" s="30">
        <v>1.1593333333333335</v>
      </c>
      <c r="Q26" s="30">
        <v>2.2993333333333332</v>
      </c>
      <c r="R26" s="30">
        <v>0.03333333333333334</v>
      </c>
      <c r="S26" s="30">
        <v>10.478315771235227</v>
      </c>
      <c r="T26" s="30">
        <v>17.196638227762364</v>
      </c>
      <c r="U26" s="30">
        <v>0.45933333333333337</v>
      </c>
      <c r="V26" s="30">
        <v>42.207339379087912</v>
      </c>
      <c r="W26" s="30">
        <f>U26/Q26</f>
        <v>0.19976804870977097</v>
      </c>
      <c r="X26" s="30">
        <v>-1.6414691187952808</v>
      </c>
      <c r="Y26" s="31">
        <v>0.13826942663405611</v>
      </c>
      <c r="Z26" s="32">
        <f>F26-Q26</f>
        <v>0.29733333333333345</v>
      </c>
      <c r="AA26" s="30">
        <v>3.9306000000000005</v>
      </c>
      <c r="AB26" s="30">
        <v>8.0670000000000002</v>
      </c>
      <c r="AC26" s="30">
        <v>0.096600000000000005</v>
      </c>
      <c r="AD26" s="30">
        <v>2.1228000000000002</v>
      </c>
      <c r="AE26" s="30">
        <v>1.8078000000000007</v>
      </c>
      <c r="AF26" s="30">
        <v>11.256351120119616</v>
      </c>
      <c r="AG26" s="30">
        <f>AF26/AA26</f>
        <v>2.8637742635016572</v>
      </c>
      <c r="AH26" s="30">
        <v>-2.3682563703904811</v>
      </c>
      <c r="AI26" s="44">
        <f>(AE26/AA26)*100</f>
        <v>45.992978171271574</v>
      </c>
      <c r="AJ26" s="30">
        <v>3.5334000000000003</v>
      </c>
      <c r="AK26" s="30">
        <v>6.8790000000000004</v>
      </c>
      <c r="AL26" s="30">
        <v>0.0504</v>
      </c>
      <c r="AM26" s="30">
        <v>1.9014000000000002</v>
      </c>
      <c r="AN26" s="30">
        <v>1.6320000000000001</v>
      </c>
      <c r="AO26" s="30">
        <v>11.614165051393094</v>
      </c>
      <c r="AP26" s="30">
        <f>AN26/AJ26</f>
        <v>0.46187807777211748</v>
      </c>
      <c r="AQ26" s="30">
        <v>-2.4540962699734572</v>
      </c>
      <c r="AR26" s="45">
        <f>(AN26/AJ26)*100</f>
        <v>46.187807777211745</v>
      </c>
      <c r="AS26" s="46">
        <f>AJ26-AA26</f>
        <v>-0.39720000000000022</v>
      </c>
      <c r="AT26" s="30">
        <f>AN26-AE26</f>
        <v>-0.17580000000000062</v>
      </c>
      <c r="AU26" s="30">
        <v>7.4932042157986913</v>
      </c>
      <c r="AV26" s="30">
        <v>-0.046856144282797177</v>
      </c>
      <c r="AW26" s="30">
        <v>0.0089353955662258011</v>
      </c>
      <c r="AX26" s="31">
        <v>0.0089361045256540431</v>
      </c>
      <c r="AY26" s="30">
        <v>6.7240000000000011</v>
      </c>
      <c r="AZ26" s="30">
        <v>3.4003999999999999</v>
      </c>
      <c r="BA26" s="30">
        <v>8.9913056650594392</v>
      </c>
      <c r="BB26" s="30">
        <v>1.4943682609793005</v>
      </c>
      <c r="BC26" s="39">
        <v>-2.3925066183814816</v>
      </c>
      <c r="BD26" s="30">
        <v>7.7207999999999997</v>
      </c>
      <c r="BE26" s="30">
        <v>4.4543999999999997</v>
      </c>
      <c r="BF26" s="30">
        <v>18.334521442897433</v>
      </c>
      <c r="BG26" s="30">
        <v>2.5794425896262956</v>
      </c>
      <c r="BH26" s="39">
        <v>-2.5344380046894583</v>
      </c>
      <c r="BI26" s="30">
        <v>4.8696000000000002</v>
      </c>
      <c r="BJ26" s="30">
        <v>3.1044</v>
      </c>
      <c r="BK26" s="30">
        <v>28.214425580289223</v>
      </c>
      <c r="BL26" s="30">
        <v>6.0066181258293927</v>
      </c>
      <c r="BM26" s="39">
        <v>-2.2544959120151828</v>
      </c>
      <c r="BN26" s="30">
        <v>5.8499999999999996</v>
      </c>
      <c r="BO26" s="30">
        <v>3.7356000000000003</v>
      </c>
      <c r="BP26" s="30">
        <v>35.270612433131504</v>
      </c>
      <c r="BQ26" s="30">
        <v>6.3919648627083401</v>
      </c>
      <c r="BR26" s="39">
        <v>-2.7308838835195761</v>
      </c>
      <c r="BS26" s="30">
        <v>7.1352000000000002</v>
      </c>
      <c r="BT26" s="30">
        <v>4.2035999999999998</v>
      </c>
      <c r="BU26" s="30">
        <v>47.916141366030644</v>
      </c>
      <c r="BV26" s="30">
        <v>6.832315272277123</v>
      </c>
      <c r="BW26" s="39">
        <v>-2.5465055631031226</v>
      </c>
      <c r="BX26" s="49">
        <v>0.97521381510581784</v>
      </c>
      <c r="BY26" s="49">
        <v>-1.397476882096697</v>
      </c>
      <c r="BZ26" s="49">
        <v>0.55793571519186358</v>
      </c>
      <c r="CA26" s="30">
        <v>1.8975000000000002</v>
      </c>
      <c r="CB26" s="30">
        <v>1.5285</v>
      </c>
      <c r="CC26" s="30">
        <v>0.36899999999999999</v>
      </c>
      <c r="CD26" s="30">
        <v>8.3871557646879573</v>
      </c>
      <c r="CE26" s="30">
        <v>6.1921340173356167</v>
      </c>
      <c r="CF26" s="30">
        <v>0.024</v>
      </c>
      <c r="CG26" s="30">
        <v>3.0626424823306961</v>
      </c>
      <c r="CH26" s="30">
        <v>1.0065</v>
      </c>
      <c r="CI26" s="30">
        <v>0.60300000000000009</v>
      </c>
      <c r="CJ26" s="30">
        <v>0.52200000000000002</v>
      </c>
      <c r="CK26" s="30">
        <v>62.933375828158226</v>
      </c>
      <c r="CL26" s="30">
        <v>30.493060139401251</v>
      </c>
      <c r="CM26" s="30">
        <v>37.066624171841767</v>
      </c>
      <c r="CN26" s="30">
        <v>-1.6870747051060753</v>
      </c>
      <c r="CO26" s="30">
        <v>-1.8684846788508687</v>
      </c>
      <c r="CP26" s="30">
        <v>0.053811801366031919</v>
      </c>
      <c r="CQ26" s="31">
        <v>1</v>
      </c>
      <c r="CR26" s="30">
        <v>2.5034999999999998</v>
      </c>
      <c r="CS26" s="30">
        <v>1.9920000000000002</v>
      </c>
      <c r="CT26" s="30">
        <v>0.51150000000000007</v>
      </c>
      <c r="CU26" s="30">
        <v>17.04852215517738</v>
      </c>
      <c r="CV26" s="30">
        <v>8.5593925501525447</v>
      </c>
      <c r="CW26" s="30">
        <v>0.059999999999999998</v>
      </c>
      <c r="CX26" s="30">
        <v>4.0863017545015001</v>
      </c>
      <c r="CY26" s="30">
        <v>0.96450000000000014</v>
      </c>
      <c r="CZ26" s="30">
        <v>0.83699999999999997</v>
      </c>
      <c r="DA26" s="30">
        <v>1.0275000000000001</v>
      </c>
      <c r="DB26" s="30">
        <v>48.242921853365033</v>
      </c>
      <c r="DC26" s="30">
        <v>41.8795969840411</v>
      </c>
      <c r="DD26" s="30">
        <v>51.757078146634981</v>
      </c>
      <c r="DE26" s="30">
        <v>-1.6722759597728039</v>
      </c>
      <c r="DF26" s="30">
        <v>-1.8467166701343978</v>
      </c>
      <c r="DG26" s="30">
        <v>0.13346936675310084</v>
      </c>
      <c r="DH26" s="30">
        <v>2.25</v>
      </c>
      <c r="DI26" s="30">
        <v>2.7492500000000004</v>
      </c>
      <c r="DJ26" s="30">
        <v>2.1284999999999998</v>
      </c>
      <c r="DK26" s="30">
        <v>0.62075000000000002</v>
      </c>
      <c r="DL26" s="30">
        <v>8.8123260249556772</v>
      </c>
      <c r="DM26" s="30">
        <v>5.2232825745449194</v>
      </c>
      <c r="DN26" s="30">
        <v>0.060250000000000005</v>
      </c>
      <c r="DO26" s="30">
        <v>5.1290047077172201</v>
      </c>
      <c r="DP26" s="30">
        <v>1.2749999999999999</v>
      </c>
      <c r="DQ26" s="30">
        <v>1.0425</v>
      </c>
      <c r="DR26" s="30">
        <v>0.85350000000000015</v>
      </c>
      <c r="DS26" s="30">
        <v>55.969415311990687</v>
      </c>
      <c r="DT26" s="30">
        <v>43.210941582509996</v>
      </c>
      <c r="DU26" s="30">
        <v>44.030584688009313</v>
      </c>
      <c r="DV26" s="30">
        <v>-1.7263931718132035</v>
      </c>
      <c r="DW26" s="30">
        <v>-1.960149547540653</v>
      </c>
      <c r="DX26" s="30">
        <v>0.14363380769214848</v>
      </c>
      <c r="DY26" s="30">
        <v>1.75</v>
      </c>
      <c r="DZ26" s="30">
        <v>5.120750000000001</v>
      </c>
      <c r="EA26" s="30">
        <v>3.3510000000000004</v>
      </c>
      <c r="EB26" s="30">
        <v>1.7697500000000002</v>
      </c>
      <c r="EC26" s="30">
        <v>17.341832843009851</v>
      </c>
      <c r="ED26" s="30">
        <v>5.7041511925332582</v>
      </c>
      <c r="EE26" s="30">
        <v>0.064750000000000002</v>
      </c>
      <c r="EF26" s="30">
        <v>0.89400000000000013</v>
      </c>
      <c r="EG26" s="30">
        <v>0.66150000000000009</v>
      </c>
      <c r="EH26" s="30">
        <v>2.4570000000000003</v>
      </c>
      <c r="EI26" s="30">
        <v>28.10872261019464</v>
      </c>
      <c r="EJ26" s="30">
        <v>19.741689338322637</v>
      </c>
      <c r="EK26" s="30">
        <v>71.891277389805367</v>
      </c>
      <c r="EL26" s="30">
        <v>-1.7986253152182869</v>
      </c>
      <c r="EM26" s="30">
        <v>-1.893213598031356</v>
      </c>
      <c r="EN26" s="30">
        <v>0.22169985172891177</v>
      </c>
      <c r="EO26" s="30">
        <v>6.5</v>
      </c>
    </row>
    <row r="27" ht="14.25">
      <c r="A27" s="42" t="s">
        <v>138</v>
      </c>
      <c r="B27" s="52">
        <v>1</v>
      </c>
      <c r="C27" s="55">
        <v>7.0300000000000002</v>
      </c>
      <c r="D27" s="30">
        <v>0.55333333333333334</v>
      </c>
      <c r="E27" s="30">
        <v>0.89133333333333331</v>
      </c>
      <c r="F27" s="30">
        <v>1.4693333333333334</v>
      </c>
      <c r="G27" s="30">
        <v>0.02466666666666667</v>
      </c>
      <c r="H27" s="30">
        <v>10.630109274350552</v>
      </c>
      <c r="I27" s="30">
        <v>18.045251246297816</v>
      </c>
      <c r="J27" s="30">
        <v>0.31533333333333341</v>
      </c>
      <c r="K27" s="30">
        <v>56.61717511861734</v>
      </c>
      <c r="L27" s="30">
        <f>J27/F27</f>
        <v>0.21460980036297644</v>
      </c>
      <c r="M27" s="30">
        <v>-1.4664485422806584</v>
      </c>
      <c r="N27" s="31">
        <v>0.16994529822935903</v>
      </c>
      <c r="O27" s="30">
        <v>0.57600000000000007</v>
      </c>
      <c r="P27" s="30">
        <v>0.79666666666666663</v>
      </c>
      <c r="Q27" s="30">
        <v>1.3899999999999999</v>
      </c>
      <c r="R27" s="30">
        <v>0.017333333333333333</v>
      </c>
      <c r="S27" s="30">
        <v>11.08694769796355</v>
      </c>
      <c r="T27" s="30">
        <v>18.125330331497096</v>
      </c>
      <c r="U27" s="30">
        <v>0.3066666666666667</v>
      </c>
      <c r="V27" s="30">
        <v>52.866565093858803</v>
      </c>
      <c r="W27" s="30">
        <f>U27/Q27</f>
        <v>0.22062350119904081</v>
      </c>
      <c r="X27" s="30">
        <v>-1.4416521023173052</v>
      </c>
      <c r="Y27" s="31">
        <v>0.17117611971148344</v>
      </c>
      <c r="Z27" s="32">
        <f>F27-Q27</f>
        <v>0.079333333333333478</v>
      </c>
      <c r="AA27" s="30">
        <v>1.9633333333333336</v>
      </c>
      <c r="AB27" s="30">
        <v>4.1913333333333336</v>
      </c>
      <c r="AC27" s="30">
        <v>0.15866666666666668</v>
      </c>
      <c r="AD27" s="30">
        <v>0.96266666666666678</v>
      </c>
      <c r="AE27" s="30">
        <v>1.0006666666666666</v>
      </c>
      <c r="AF27" s="30">
        <v>12.15759134502675</v>
      </c>
      <c r="AG27" s="30">
        <f>AF27/AA27</f>
        <v>6.1923215679253385</v>
      </c>
      <c r="AH27" s="30">
        <v>-2.4218697765650261</v>
      </c>
      <c r="AI27" s="44">
        <f>(AE27/AA27)*100</f>
        <v>50.967741935483858</v>
      </c>
      <c r="AJ27" s="30">
        <v>2.1033333333333335</v>
      </c>
      <c r="AK27" s="30">
        <v>3.6293333333333333</v>
      </c>
      <c r="AL27" s="30">
        <v>0.10866666666666668</v>
      </c>
      <c r="AM27" s="30">
        <v>1.0553333333333335</v>
      </c>
      <c r="AN27" s="30">
        <v>1.048</v>
      </c>
      <c r="AO27" s="30">
        <v>12.291934629225649</v>
      </c>
      <c r="AP27" s="30">
        <f>AN27/AJ27</f>
        <v>0.49825673534072901</v>
      </c>
      <c r="AQ27" s="30">
        <v>-2.6097548805423272</v>
      </c>
      <c r="AR27" s="45">
        <f>(AN27/AJ27)*100</f>
        <v>49.825673534072898</v>
      </c>
      <c r="AS27" s="46">
        <f>AJ27-AA27</f>
        <v>0.1399999999999999</v>
      </c>
      <c r="AT27" s="30">
        <f>AN27-AE27</f>
        <v>0.047333333333333449</v>
      </c>
      <c r="AU27" s="30">
        <v>2.6354662192924572</v>
      </c>
      <c r="AV27" s="30">
        <v>0.36369210509110256</v>
      </c>
      <c r="AW27" s="30">
        <v>0.4382938070867286</v>
      </c>
      <c r="AX27" s="31">
        <v>0.43829689102678021</v>
      </c>
      <c r="AY27" s="30">
        <v>6.2504000000000008</v>
      </c>
      <c r="AZ27" s="30">
        <v>3.3112000000000004</v>
      </c>
      <c r="BA27" s="30">
        <v>10.622505098913837</v>
      </c>
      <c r="BB27" s="30">
        <v>1.7412350012536568</v>
      </c>
      <c r="BC27" s="39">
        <v>-3.1062960728010625</v>
      </c>
      <c r="BD27" s="30">
        <v>7.9584000000000001</v>
      </c>
      <c r="BE27" s="30">
        <v>4.1219999999999999</v>
      </c>
      <c r="BF27" s="30">
        <v>20.186137552788686</v>
      </c>
      <c r="BG27" s="30">
        <v>2.6307118916812593</v>
      </c>
      <c r="BH27" s="39">
        <v>-2.9391653442998775</v>
      </c>
      <c r="BI27" s="30">
        <v>8.3315999999999999</v>
      </c>
      <c r="BJ27" s="30">
        <v>3.7824000000000004</v>
      </c>
      <c r="BK27" s="30">
        <v>28.895621133688643</v>
      </c>
      <c r="BL27" s="30">
        <v>3.6085913620683421</v>
      </c>
      <c r="BM27" s="39">
        <v>-3.0235884751441846</v>
      </c>
      <c r="BN27" s="30">
        <v>10.969500000000002</v>
      </c>
      <c r="BO27" s="30">
        <v>5.0010000000000003</v>
      </c>
      <c r="BP27" s="30">
        <v>40.644208309729429</v>
      </c>
      <c r="BQ27" s="30">
        <v>3.7708879630510537</v>
      </c>
      <c r="BR27" s="39">
        <v>-3.2561536549579499</v>
      </c>
      <c r="BS27" s="30">
        <v>10.483200000000002</v>
      </c>
      <c r="BT27" s="30">
        <v>5.474400000000001</v>
      </c>
      <c r="BU27" s="30">
        <v>46.649154849483395</v>
      </c>
      <c r="BV27" s="30">
        <v>4.7016916046644841</v>
      </c>
      <c r="BW27" s="39">
        <v>-3.3168234103257008</v>
      </c>
      <c r="BX27" s="49">
        <v>0.0627006005562811</v>
      </c>
      <c r="BY27" s="49">
        <v>0.89846413438894868</v>
      </c>
      <c r="BZ27" s="49">
        <v>0.11306988949509511</v>
      </c>
      <c r="CA27" s="30">
        <v>1.1240000000000001</v>
      </c>
      <c r="CB27" s="30">
        <v>0.80099999999999993</v>
      </c>
      <c r="CC27" s="30">
        <v>0.32300000000000001</v>
      </c>
      <c r="CD27" s="30">
        <v>8.873362568727881</v>
      </c>
      <c r="CE27" s="30">
        <v>11.134772236465691</v>
      </c>
      <c r="CF27" s="30">
        <v>0.053500000000000006</v>
      </c>
      <c r="CG27" s="30">
        <v>3.1418267787563319</v>
      </c>
      <c r="CH27" s="30">
        <v>0.32400000000000001</v>
      </c>
      <c r="CI27" s="30">
        <v>0.1875</v>
      </c>
      <c r="CJ27" s="30">
        <v>0.47700000000000004</v>
      </c>
      <c r="CK27" s="30">
        <v>40.312355943451252</v>
      </c>
      <c r="CL27" s="30">
        <v>23.192229959584111</v>
      </c>
      <c r="CM27" s="30">
        <v>59.687644056548741</v>
      </c>
      <c r="CN27" s="30">
        <v>-1.5077532939668035</v>
      </c>
      <c r="CO27" s="30">
        <v>-1.5194282149759069</v>
      </c>
      <c r="CP27" s="30">
        <v>0.097532506086794951</v>
      </c>
      <c r="CQ27" s="31">
        <v>0.75</v>
      </c>
      <c r="CR27" s="30">
        <v>1.2112500000000002</v>
      </c>
      <c r="CS27" s="30">
        <v>0.94350000000000001</v>
      </c>
      <c r="CT27" s="30">
        <v>0.26775000000000004</v>
      </c>
      <c r="CU27" s="30">
        <v>17.302595002179835</v>
      </c>
      <c r="CV27" s="30">
        <v>18.725959239086915</v>
      </c>
      <c r="CW27" s="30">
        <v>0.032250000000000001</v>
      </c>
      <c r="CX27" s="30">
        <v>4.1086268527802954</v>
      </c>
      <c r="CY27" s="30">
        <v>0.36299999999999999</v>
      </c>
      <c r="CZ27" s="30">
        <v>0.126</v>
      </c>
      <c r="DA27" s="30">
        <v>0.58050000000000002</v>
      </c>
      <c r="DB27" s="30">
        <v>38.983938144000689</v>
      </c>
      <c r="DC27" s="30">
        <v>13.377257532479721</v>
      </c>
      <c r="DD27" s="30">
        <v>61.016061855999325</v>
      </c>
      <c r="DE27" s="30">
        <v>-1.4917809443035479</v>
      </c>
      <c r="DF27" s="30">
        <v>-1.5586446902832529</v>
      </c>
      <c r="DG27" s="30">
        <v>0.11615451585164246</v>
      </c>
      <c r="DH27" s="30">
        <v>0.75</v>
      </c>
      <c r="DI27" s="30">
        <v>1.0170000000000001</v>
      </c>
      <c r="DJ27" s="30">
        <v>0.83400000000000007</v>
      </c>
      <c r="DK27" s="30">
        <v>0.20700000000000002</v>
      </c>
      <c r="DL27" s="30">
        <v>8.7689064742425558</v>
      </c>
      <c r="DM27" s="30">
        <v>10.542378775850024</v>
      </c>
      <c r="DN27" s="30">
        <v>0.049500000000000002</v>
      </c>
      <c r="DO27" s="30">
        <v>5.1350922749376577</v>
      </c>
      <c r="DP27" s="30">
        <v>0.26550000000000001</v>
      </c>
      <c r="DQ27" s="30">
        <v>0.13500000000000001</v>
      </c>
      <c r="DR27" s="30">
        <v>0.54400000000000004</v>
      </c>
      <c r="DS27" s="30">
        <v>32.656575031411492</v>
      </c>
      <c r="DT27" s="30">
        <v>16.28399452723604</v>
      </c>
      <c r="DU27" s="30">
        <v>67.343424968588508</v>
      </c>
      <c r="DV27" s="30">
        <v>-1.5706953057455757</v>
      </c>
      <c r="DW27" s="30">
        <v>-1.4694635424027758</v>
      </c>
      <c r="DX27" s="30">
        <v>0.14827719788265722</v>
      </c>
      <c r="DY27" s="30">
        <v>1</v>
      </c>
      <c r="DZ27" s="30">
        <v>1.3985000000000001</v>
      </c>
      <c r="EA27" s="30">
        <v>1.173</v>
      </c>
      <c r="EB27" s="30">
        <v>0.22550000000000003</v>
      </c>
      <c r="EC27" s="30">
        <v>16.787159797228508</v>
      </c>
      <c r="ED27" s="30">
        <v>15.070427384763638</v>
      </c>
      <c r="EE27" s="30">
        <v>0.057999999999999996</v>
      </c>
      <c r="EF27" s="30">
        <v>0.44699999999999995</v>
      </c>
      <c r="EG27" s="30">
        <v>0.23099999999999996</v>
      </c>
      <c r="EH27" s="30">
        <v>0.72600000000000009</v>
      </c>
      <c r="EI27" s="30">
        <v>37.807654745956</v>
      </c>
      <c r="EJ27" s="30">
        <v>18.386786813466244</v>
      </c>
      <c r="EK27" s="30">
        <v>62.192345254043992</v>
      </c>
      <c r="EL27" s="30">
        <v>-1.474055251832449</v>
      </c>
      <c r="EM27" s="30">
        <v>-1.5950193042287228</v>
      </c>
      <c r="EN27" s="30">
        <v>0.098933919888381294</v>
      </c>
      <c r="EO27" s="30">
        <v>1</v>
      </c>
    </row>
    <row r="28" ht="14.25">
      <c r="A28" s="42" t="s">
        <v>138</v>
      </c>
      <c r="B28" s="51">
        <v>2</v>
      </c>
      <c r="C28" s="48">
        <v>7.0300000000000002</v>
      </c>
      <c r="D28" s="30">
        <v>0.63400000000000012</v>
      </c>
      <c r="E28" s="30">
        <v>0.84133333333333349</v>
      </c>
      <c r="F28" s="30">
        <v>1.4913333333333336</v>
      </c>
      <c r="G28" s="30">
        <v>0.016</v>
      </c>
      <c r="H28" s="30">
        <v>10.713103391171963</v>
      </c>
      <c r="I28" s="30">
        <v>17.593816718255329</v>
      </c>
      <c r="J28" s="30">
        <v>0.28599999999999998</v>
      </c>
      <c r="K28" s="30">
        <v>45.008038464205846</v>
      </c>
      <c r="L28" s="30">
        <f>J28/F28</f>
        <v>0.1917746982565936</v>
      </c>
      <c r="M28" s="30">
        <v>-1.4372751918726221</v>
      </c>
      <c r="N28" s="31">
        <v>0.19396425465618339</v>
      </c>
      <c r="O28" s="30">
        <v>0.65466666666666673</v>
      </c>
      <c r="P28" s="30">
        <v>0.71333333333333337</v>
      </c>
      <c r="Q28" s="30">
        <v>1.4040000000000004</v>
      </c>
      <c r="R28" s="30">
        <v>0.036000000000000004</v>
      </c>
      <c r="S28" s="30">
        <v>10.751915952239671</v>
      </c>
      <c r="T28" s="30">
        <v>18.450161326159773</v>
      </c>
      <c r="U28" s="30">
        <v>0.3073333333333334</v>
      </c>
      <c r="V28" s="30">
        <v>46.569236462611748</v>
      </c>
      <c r="W28" s="30">
        <f>U28/Q28</f>
        <v>0.21889838556505223</v>
      </c>
      <c r="X28" s="30">
        <v>-1.4353133677427745</v>
      </c>
      <c r="Y28" s="31">
        <v>0.13355108874278368</v>
      </c>
      <c r="Z28" s="32">
        <f>F28-Q28</f>
        <v>0.087333333333333263</v>
      </c>
      <c r="AA28" s="30">
        <v>2.0640000000000001</v>
      </c>
      <c r="AB28" s="30">
        <v>4.6002000000000001</v>
      </c>
      <c r="AC28" s="30">
        <v>0.019800000000000002</v>
      </c>
      <c r="AD28" s="30">
        <v>1.0236000000000001</v>
      </c>
      <c r="AE28" s="30">
        <v>1.0404</v>
      </c>
      <c r="AF28" s="30">
        <v>11.465057141404051</v>
      </c>
      <c r="AG28" s="30">
        <f>AF28/AA28</f>
        <v>5.554775746804288</v>
      </c>
      <c r="AH28" s="30">
        <v>-2.3862944026147841</v>
      </c>
      <c r="AI28" s="44">
        <f>(AE28/AA28)*100</f>
        <v>50.406976744186046</v>
      </c>
      <c r="AJ28" s="30">
        <v>2.0996000000000001</v>
      </c>
      <c r="AK28" s="30">
        <v>4.1486000000000001</v>
      </c>
      <c r="AL28" s="30">
        <v>0.018200000000000001</v>
      </c>
      <c r="AM28" s="30">
        <v>1.1342000000000001</v>
      </c>
      <c r="AN28" s="30">
        <v>0.96540000000000004</v>
      </c>
      <c r="AO28" s="30">
        <v>11.479485648812346</v>
      </c>
      <c r="AP28" s="30">
        <f>AN28/AJ28</f>
        <v>0.45980186702228992</v>
      </c>
      <c r="AQ28" s="30">
        <v>-2.4457160889022886</v>
      </c>
      <c r="AR28" s="45">
        <f>(AN28/AJ28)*100</f>
        <v>45.980186702228991</v>
      </c>
      <c r="AS28" s="46">
        <f>AJ28-AA28</f>
        <v>0.035600000000000076</v>
      </c>
      <c r="AT28" s="30">
        <f>AN28-AE28</f>
        <v>-0.074999999999999956</v>
      </c>
      <c r="AU28" s="30">
        <v>1.625058222474461</v>
      </c>
      <c r="AV28" s="30">
        <v>0.32121776566702842</v>
      </c>
      <c r="AW28" s="30">
        <v>0.66037113075438891</v>
      </c>
      <c r="AX28" s="31">
        <v>0.6603771218262019</v>
      </c>
      <c r="AY28" s="30">
        <v>3.3024</v>
      </c>
      <c r="AZ28" s="30">
        <v>1.4144000000000001</v>
      </c>
      <c r="BA28" s="30">
        <v>10.333961190141274</v>
      </c>
      <c r="BB28" s="30">
        <v>3.1523929507881236</v>
      </c>
      <c r="BC28" s="39">
        <v>-2.4877982311743918</v>
      </c>
      <c r="BD28" s="30">
        <v>4.7064000000000004</v>
      </c>
      <c r="BE28" s="30">
        <v>2.1432000000000002</v>
      </c>
      <c r="BF28" s="30">
        <v>20.157315381193818</v>
      </c>
      <c r="BG28" s="30">
        <v>4.3151936009915328</v>
      </c>
      <c r="BH28" s="39">
        <v>-2.3440348490858591</v>
      </c>
      <c r="BI28" s="30">
        <v>4.4940000000000007</v>
      </c>
      <c r="BJ28" s="30">
        <v>2.1311999999999998</v>
      </c>
      <c r="BK28" s="30">
        <v>30.059051284856515</v>
      </c>
      <c r="BL28" s="30">
        <v>6.7281453101682276</v>
      </c>
      <c r="BM28" s="39">
        <v>-2.1978428217947794</v>
      </c>
      <c r="BN28" s="30">
        <v>5.1372</v>
      </c>
      <c r="BO28" s="30">
        <v>2.4612000000000003</v>
      </c>
      <c r="BP28" s="30">
        <v>38.353808009321043</v>
      </c>
      <c r="BQ28" s="30">
        <v>7.6869080563989085</v>
      </c>
      <c r="BR28" s="39">
        <v>-2.1422408903014727</v>
      </c>
      <c r="BS28" s="30">
        <v>5.8320000000000007</v>
      </c>
      <c r="BT28" s="30">
        <v>2.5008000000000004</v>
      </c>
      <c r="BU28" s="30">
        <v>49.170496630939617</v>
      </c>
      <c r="BV28" s="30">
        <v>8.4367633703265206</v>
      </c>
      <c r="BW28" s="39">
        <v>-2.1462739756189775</v>
      </c>
      <c r="BX28" s="49">
        <v>0.14405873685580461</v>
      </c>
      <c r="BY28" s="49">
        <v>0.66173415599553143</v>
      </c>
      <c r="BZ28" s="49">
        <v>0.21909073021415548</v>
      </c>
      <c r="CA28" s="30">
        <v>1.0190000000000001</v>
      </c>
      <c r="CB28" s="30">
        <v>0.65400000000000003</v>
      </c>
      <c r="CC28" s="30">
        <v>0.36500000000000005</v>
      </c>
      <c r="CD28" s="30">
        <v>9.4804069680148118</v>
      </c>
      <c r="CE28" s="30">
        <v>15.547199481535454</v>
      </c>
      <c r="CF28" s="30">
        <v>0.059499999999999997</v>
      </c>
      <c r="CG28" s="30">
        <v>3.2011970068176736</v>
      </c>
      <c r="CH28" s="30">
        <v>0.29550000000000004</v>
      </c>
      <c r="CI28" s="30">
        <v>0.156</v>
      </c>
      <c r="CJ28" s="30">
        <v>0.35850000000000004</v>
      </c>
      <c r="CK28" s="30">
        <v>44.461130195151398</v>
      </c>
      <c r="CL28" s="30">
        <v>21.796043290586347</v>
      </c>
      <c r="CM28" s="30">
        <v>55.538869804848602</v>
      </c>
      <c r="CN28" s="30">
        <v>-1.4322209484419766</v>
      </c>
      <c r="CO28" s="30">
        <v>-1.4642903758889454</v>
      </c>
      <c r="CP28" s="30">
        <v>0.11019437707714774</v>
      </c>
      <c r="CQ28" s="31">
        <v>1</v>
      </c>
      <c r="CR28" s="30">
        <v>1.5105</v>
      </c>
      <c r="CS28" s="30">
        <v>0.85650000000000015</v>
      </c>
      <c r="CT28" s="30">
        <v>0.65400000000000003</v>
      </c>
      <c r="CU28" s="30">
        <v>18.162423449310122</v>
      </c>
      <c r="CV28" s="30">
        <v>21.537658965301411</v>
      </c>
      <c r="CW28" s="30">
        <v>0.029999999999999999</v>
      </c>
      <c r="CX28" s="30">
        <v>4.1342016108320969</v>
      </c>
      <c r="CY28" s="30">
        <v>0.38100000000000001</v>
      </c>
      <c r="CZ28" s="30">
        <v>0.20100000000000001</v>
      </c>
      <c r="DA28" s="30">
        <v>0.47550000000000009</v>
      </c>
      <c r="DB28" s="30">
        <v>44.090859714574272</v>
      </c>
      <c r="DC28" s="30">
        <v>23.163721071964446</v>
      </c>
      <c r="DD28" s="30">
        <v>55.909140285425721</v>
      </c>
      <c r="DE28" s="30">
        <v>-1.4500735444694723</v>
      </c>
      <c r="DF28" s="30">
        <v>-1.5424454884017784</v>
      </c>
      <c r="DG28" s="30">
        <v>0.20355884939559793</v>
      </c>
      <c r="DH28" s="30">
        <v>0.75</v>
      </c>
      <c r="DI28" s="30">
        <v>1.20275</v>
      </c>
      <c r="DJ28" s="30">
        <v>0.70200000000000007</v>
      </c>
      <c r="DK28" s="30">
        <v>0.50075000000000003</v>
      </c>
      <c r="DL28" s="30">
        <v>8.793564285001171</v>
      </c>
      <c r="DM28" s="30">
        <v>12.893070743505442</v>
      </c>
      <c r="DN28" s="30">
        <v>0.057250000000000002</v>
      </c>
      <c r="DO28" s="30">
        <v>5.1053074617116421</v>
      </c>
      <c r="DP28" s="30">
        <v>0.28500000000000003</v>
      </c>
      <c r="DQ28" s="30">
        <v>0.13350000000000001</v>
      </c>
      <c r="DR28" s="30">
        <v>0.41699999999999998</v>
      </c>
      <c r="DS28" s="30">
        <v>40.7174230545398</v>
      </c>
      <c r="DT28" s="30">
        <v>19.087420539366299</v>
      </c>
      <c r="DU28" s="30">
        <v>59.282576945460207</v>
      </c>
      <c r="DV28" s="30">
        <v>-1.4247873687178143</v>
      </c>
      <c r="DW28" s="30">
        <v>-1.4880423885470657</v>
      </c>
      <c r="DX28" s="30">
        <v>0.10300709627026508</v>
      </c>
      <c r="DY28" s="30">
        <v>0.5</v>
      </c>
      <c r="DZ28" s="30">
        <v>1.5923333333333334</v>
      </c>
      <c r="EA28" s="30">
        <v>0.92600000000000016</v>
      </c>
      <c r="EB28" s="30">
        <v>0.66633333333333333</v>
      </c>
      <c r="EC28" s="30">
        <v>17.187065840218523</v>
      </c>
      <c r="ED28" s="30">
        <v>19.016687119835996</v>
      </c>
      <c r="EE28" s="30">
        <v>0.0385</v>
      </c>
      <c r="EF28" s="30">
        <v>0.34800000000000003</v>
      </c>
      <c r="EG28" s="30">
        <v>0.13400000000000001</v>
      </c>
      <c r="EH28" s="30">
        <v>0.57799999999999996</v>
      </c>
      <c r="EI28" s="30">
        <v>38.517244925287628</v>
      </c>
      <c r="EJ28" s="30">
        <v>14.851074344738796</v>
      </c>
      <c r="EK28" s="30">
        <v>61.482755074712379</v>
      </c>
      <c r="EL28" s="30">
        <v>-1.4674373865172017</v>
      </c>
      <c r="EM28" s="30">
        <v>-1.5191924418838738</v>
      </c>
      <c r="EN28" s="30">
        <v>0.10977989461651516</v>
      </c>
      <c r="EO28" s="30">
        <v>0.66666666666666663</v>
      </c>
    </row>
    <row r="29" ht="14.25">
      <c r="A29" s="43" t="s">
        <v>139</v>
      </c>
      <c r="B29" s="43">
        <v>1</v>
      </c>
      <c r="C29" s="55">
        <v>7.04</v>
      </c>
      <c r="D29" s="30">
        <v>1.302</v>
      </c>
      <c r="E29" s="30">
        <v>2.5092000000000008</v>
      </c>
      <c r="F29" s="30">
        <v>3.8376000000000006</v>
      </c>
      <c r="G29" s="30">
        <v>0.0264</v>
      </c>
      <c r="H29" s="30">
        <v>10.853117721858979</v>
      </c>
      <c r="I29" s="30">
        <v>18.168540819257874</v>
      </c>
      <c r="J29" s="30">
        <v>0.51119999999999999</v>
      </c>
      <c r="K29" s="30">
        <v>39.850175641981856</v>
      </c>
      <c r="L29" s="30">
        <f>J29/F29</f>
        <v>0.13320825515947465</v>
      </c>
      <c r="M29" s="30">
        <v>-1.668489881069835</v>
      </c>
      <c r="N29" s="31">
        <v>0.15044718099710669</v>
      </c>
      <c r="O29" s="30">
        <v>1.1332500000000001</v>
      </c>
      <c r="P29" s="30">
        <v>1.7325000000000004</v>
      </c>
      <c r="Q29" s="30">
        <v>2.9677500000000001</v>
      </c>
      <c r="R29" s="30">
        <v>0.10200000000000001</v>
      </c>
      <c r="S29" s="30">
        <v>10.818333070475203</v>
      </c>
      <c r="T29" s="30">
        <v>17.72352877977816</v>
      </c>
      <c r="U29" s="30">
        <v>0.42525000000000007</v>
      </c>
      <c r="V29" s="30">
        <v>38.436960138884004</v>
      </c>
      <c r="W29" s="30">
        <f>U29/Q29</f>
        <v>0.14329037149355575</v>
      </c>
      <c r="X29" s="30">
        <v>-1.6328072322980114</v>
      </c>
      <c r="Y29" s="31">
        <v>0.13196513469751647</v>
      </c>
      <c r="Z29" s="32">
        <f>F29-Q29</f>
        <v>0.86985000000000046</v>
      </c>
      <c r="AA29" s="30">
        <v>2.7217777777777776</v>
      </c>
      <c r="AB29" s="30">
        <v>5.4760000000000009</v>
      </c>
      <c r="AC29" s="30">
        <v>0.035111111111111121</v>
      </c>
      <c r="AD29" s="30">
        <v>1.3824444444444444</v>
      </c>
      <c r="AE29" s="30">
        <v>1.3393333333333333</v>
      </c>
      <c r="AF29" s="30">
        <v>11.620710531761169</v>
      </c>
      <c r="AG29" s="30">
        <f>AF29/AA29</f>
        <v>4.2695295062806391</v>
      </c>
      <c r="AH29" s="30">
        <v>-2.3495213889778834</v>
      </c>
      <c r="AI29" s="44">
        <f>(AE29/AA29)*100</f>
        <v>49.208033964728934</v>
      </c>
      <c r="AJ29" s="30">
        <v>2.1686666666666667</v>
      </c>
      <c r="AK29" s="30">
        <v>4.8193333333333328</v>
      </c>
      <c r="AL29" s="30">
        <v>0.018000000000000002</v>
      </c>
      <c r="AM29" s="30">
        <v>1.198</v>
      </c>
      <c r="AN29" s="30">
        <v>0.9706666666666669</v>
      </c>
      <c r="AO29" s="30">
        <v>11.270675624434464</v>
      </c>
      <c r="AP29" s="30">
        <f>AN29/AJ29</f>
        <v>0.44758684291423312</v>
      </c>
      <c r="AQ29" s="30">
        <v>-2.4864248344666628</v>
      </c>
      <c r="AR29" s="45">
        <f>(AN29/AJ29)*100</f>
        <v>44.758684291423315</v>
      </c>
      <c r="AS29" s="46">
        <f>AJ29-AA29</f>
        <v>-0.55311111111111089</v>
      </c>
      <c r="AT29" s="30">
        <f>AN29-AE29</f>
        <v>-0.36866666666666636</v>
      </c>
      <c r="AU29" s="30">
        <v>0.38819809030039426</v>
      </c>
      <c r="AV29" s="30">
        <v>0.85772226070654844</v>
      </c>
      <c r="AW29" s="30">
        <v>0.38331124641052461</v>
      </c>
      <c r="AX29" s="31">
        <v>0.38606932530662658</v>
      </c>
      <c r="AY29" s="30">
        <v>4.2940000000000005</v>
      </c>
      <c r="AZ29" s="30">
        <v>2.0480000000000005</v>
      </c>
      <c r="BA29" s="30">
        <v>10.290840023113487</v>
      </c>
      <c r="BB29" s="30">
        <v>2.4788232997671451</v>
      </c>
      <c r="BC29" s="39">
        <v>-2.6401920218916732</v>
      </c>
      <c r="BD29" s="30">
        <v>3.7776000000000005</v>
      </c>
      <c r="BE29" s="30">
        <v>1.9164000000000001</v>
      </c>
      <c r="BF29" s="30">
        <v>19.458627562190379</v>
      </c>
      <c r="BG29" s="30">
        <v>5.2872447623467993</v>
      </c>
      <c r="BH29" s="39">
        <v>-2.5172766066947601</v>
      </c>
      <c r="BI29" s="30">
        <v>7.6320000000000006</v>
      </c>
      <c r="BJ29" s="30">
        <v>3.6864000000000003</v>
      </c>
      <c r="BK29" s="30">
        <v>27.002242012559815</v>
      </c>
      <c r="BL29" s="30">
        <v>3.641593157851351</v>
      </c>
      <c r="BM29" s="39">
        <v>-2.6973252936280234</v>
      </c>
      <c r="BN29" s="30">
        <v>6.8868000000000009</v>
      </c>
      <c r="BO29" s="30">
        <v>3.1296000000000004</v>
      </c>
      <c r="BP29" s="30">
        <v>35.553254822709448</v>
      </c>
      <c r="BQ29" s="30">
        <v>5.3023571068049291</v>
      </c>
      <c r="BR29" s="39">
        <v>-2.4383525306542984</v>
      </c>
      <c r="BS29" s="30">
        <v>10.5672</v>
      </c>
      <c r="BT29" s="30">
        <v>5.9796000000000005</v>
      </c>
      <c r="BU29" s="30">
        <v>44.777627182732758</v>
      </c>
      <c r="BV29" s="30">
        <v>5.8784256469663791</v>
      </c>
      <c r="BW29" s="39">
        <v>-2.6825541624246796</v>
      </c>
      <c r="BX29" s="30">
        <v>0.25365213718292551</v>
      </c>
      <c r="BY29" s="30">
        <v>0.81854020145092232</v>
      </c>
      <c r="BZ29" s="30">
        <v>0.34388955280874622</v>
      </c>
      <c r="CA29" s="30">
        <v>1.593</v>
      </c>
      <c r="CB29" s="30">
        <v>1.2315</v>
      </c>
      <c r="CC29" s="30">
        <v>0.36150000000000004</v>
      </c>
      <c r="CD29" s="30">
        <v>9.2487147399333143</v>
      </c>
      <c r="CE29" s="30">
        <v>7.5899618451617759</v>
      </c>
      <c r="CF29" s="30">
        <v>0.069000000000000006</v>
      </c>
      <c r="CG29" s="30">
        <v>3.2015142806979697</v>
      </c>
      <c r="CH29" s="30">
        <v>0.41100000000000003</v>
      </c>
      <c r="CI29" s="30">
        <v>0.22949999999999998</v>
      </c>
      <c r="CJ29" s="30">
        <v>0.82050000000000023</v>
      </c>
      <c r="CK29" s="30">
        <v>33.223846089742466</v>
      </c>
      <c r="CL29" s="30">
        <v>18.316104997129848</v>
      </c>
      <c r="CM29" s="30">
        <v>66.776153910257534</v>
      </c>
      <c r="CN29" s="30">
        <v>-1.6434453138802483</v>
      </c>
      <c r="CO29" s="30">
        <v>-1.6264699244131802</v>
      </c>
      <c r="CP29" s="30">
        <v>0.086099970460840336</v>
      </c>
      <c r="CQ29" s="31">
        <v>2</v>
      </c>
      <c r="CR29" s="30">
        <v>2.0579999999999998</v>
      </c>
      <c r="CS29" s="30">
        <v>1.6949999999999998</v>
      </c>
      <c r="CT29" s="30">
        <v>0.36300000000000004</v>
      </c>
      <c r="CU29" s="30">
        <v>17.724144311302314</v>
      </c>
      <c r="CV29" s="30">
        <v>10.851638449624524</v>
      </c>
      <c r="CW29" s="30">
        <v>0.051000000000000004</v>
      </c>
      <c r="CX29" s="30">
        <v>4.1347731743228211</v>
      </c>
      <c r="CY29" s="30">
        <v>0.64650000000000007</v>
      </c>
      <c r="CZ29" s="30">
        <v>0.372</v>
      </c>
      <c r="DA29" s="30">
        <v>1.0485</v>
      </c>
      <c r="DB29" s="30">
        <v>37.697663267835438</v>
      </c>
      <c r="DC29" s="30">
        <v>20.941195232993156</v>
      </c>
      <c r="DD29" s="30">
        <v>62.302336732164562</v>
      </c>
      <c r="DE29" s="30">
        <v>-1.6558620378399003</v>
      </c>
      <c r="DF29" s="30">
        <v>-1.7963446937106433</v>
      </c>
      <c r="DG29" s="30">
        <v>0.13341316518973345</v>
      </c>
      <c r="DH29" s="30">
        <v>3.25</v>
      </c>
      <c r="DI29" s="30">
        <v>1.7593333333333334</v>
      </c>
      <c r="DJ29" s="30">
        <v>1.4610000000000001</v>
      </c>
      <c r="DK29" s="30">
        <v>0.42933333333333334</v>
      </c>
      <c r="DL29" s="30">
        <v>9.3004265465768725</v>
      </c>
      <c r="DM29" s="30">
        <v>6.5194036788753422</v>
      </c>
      <c r="DN29" s="30">
        <v>0.03925</v>
      </c>
      <c r="DO29" s="30">
        <v>5.1794907334414155</v>
      </c>
      <c r="DP29" s="30">
        <v>0.45399999999999996</v>
      </c>
      <c r="DQ29" s="30">
        <v>0.19200000000000003</v>
      </c>
      <c r="DR29" s="30">
        <v>0.8580000000000001</v>
      </c>
      <c r="DS29" s="30">
        <v>31.400591135623838</v>
      </c>
      <c r="DT29" s="30">
        <v>15.031068955268184</v>
      </c>
      <c r="DU29" s="30">
        <v>68.599408864376159</v>
      </c>
      <c r="DV29" s="30">
        <v>-1.6941011470865421</v>
      </c>
      <c r="DW29" s="30">
        <v>-1.5857498368144005</v>
      </c>
      <c r="DX29" s="30">
        <v>0.20753797165531052</v>
      </c>
      <c r="DY29" s="30">
        <v>2.3333333333333335</v>
      </c>
      <c r="DZ29" s="30">
        <v>2.4950000000000006</v>
      </c>
      <c r="EA29" s="30">
        <v>2.1870000000000003</v>
      </c>
      <c r="EB29" s="30">
        <v>0.34550000000000003</v>
      </c>
      <c r="EC29" s="30">
        <v>17.743796295438607</v>
      </c>
      <c r="ED29" s="30">
        <v>8.8282118019169609</v>
      </c>
      <c r="EE29" s="30">
        <v>0.031</v>
      </c>
      <c r="EF29" s="30">
        <v>0.68400000000000005</v>
      </c>
      <c r="EG29" s="30">
        <v>0.24299999999999997</v>
      </c>
      <c r="EH29" s="30">
        <v>1.6890000000000001</v>
      </c>
      <c r="EI29" s="30">
        <v>30.961399829615772</v>
      </c>
      <c r="EJ29" s="30">
        <v>11.530615266657701</v>
      </c>
      <c r="EK29" s="30">
        <v>69.038600170384228</v>
      </c>
      <c r="EL29" s="30">
        <v>-1.6792466112074922</v>
      </c>
      <c r="EM29" s="30">
        <v>-2.1553256902156033</v>
      </c>
      <c r="EN29" s="30">
        <v>0.3113071388542949</v>
      </c>
      <c r="EO29" s="30">
        <v>5.333333333333333</v>
      </c>
    </row>
    <row r="30" ht="14.25">
      <c r="A30" s="43" t="s">
        <v>139</v>
      </c>
      <c r="B30" s="43">
        <v>1</v>
      </c>
      <c r="C30" s="55">
        <v>7.0499999999999998</v>
      </c>
      <c r="D30" s="30">
        <v>1.0469999999999999</v>
      </c>
      <c r="E30" s="30">
        <v>1.5470000000000004</v>
      </c>
      <c r="F30" s="30">
        <v>2.6859999999999999</v>
      </c>
      <c r="G30" s="30">
        <v>0.092000000000000012</v>
      </c>
      <c r="H30" s="30">
        <v>10.41589620264952</v>
      </c>
      <c r="I30" s="30">
        <v>17.826412170859022</v>
      </c>
      <c r="J30" s="30">
        <v>0.37600000000000006</v>
      </c>
      <c r="K30" s="30">
        <v>38.862413201125271</v>
      </c>
      <c r="L30" s="30">
        <f>J30/F30</f>
        <v>0.13998510796723757</v>
      </c>
      <c r="M30" s="30">
        <v>-1.5453952104883466</v>
      </c>
      <c r="N30" s="31">
        <v>0.14396395152032496</v>
      </c>
      <c r="O30" s="30">
        <v>1.0620000000000001</v>
      </c>
      <c r="P30" s="30">
        <v>1.3140000000000001</v>
      </c>
      <c r="Q30" s="30">
        <v>2.5079999999999996</v>
      </c>
      <c r="R30" s="30">
        <v>0.13200000000000001</v>
      </c>
      <c r="S30" s="30">
        <v>10.450189617010171</v>
      </c>
      <c r="T30" s="30">
        <v>15.696369845603934</v>
      </c>
      <c r="U30" s="30">
        <v>0.50314285714285722</v>
      </c>
      <c r="V30" s="30">
        <v>49.540027403299256</v>
      </c>
      <c r="W30" s="30">
        <f>U30/Q30</f>
        <v>0.20061517429938489</v>
      </c>
      <c r="X30" s="30">
        <v>-1.6131083022346222</v>
      </c>
      <c r="Y30" s="31">
        <v>0.10730948805636044</v>
      </c>
      <c r="Z30" s="32">
        <f>F30-Q30</f>
        <v>0.17800000000000038</v>
      </c>
      <c r="AA30" s="30">
        <v>3.4044000000000003</v>
      </c>
      <c r="AB30" s="30">
        <v>6.9396000000000004</v>
      </c>
      <c r="AC30" s="30">
        <v>0.06480000000000001</v>
      </c>
      <c r="AD30" s="30">
        <v>1.9614</v>
      </c>
      <c r="AE30" s="30">
        <v>1.4430000000000001</v>
      </c>
      <c r="AF30" s="30">
        <v>11.642247445864134</v>
      </c>
      <c r="AG30" s="30">
        <f>AF30/AA30</f>
        <v>3.4197648472165825</v>
      </c>
      <c r="AH30" s="30">
        <v>-2.4545867781788635</v>
      </c>
      <c r="AI30" s="44">
        <f>(AE30/AA30)*100</f>
        <v>42.386323581247794</v>
      </c>
      <c r="AJ30" s="30">
        <v>3.0860000000000003</v>
      </c>
      <c r="AK30" s="30">
        <v>5.833333333333333</v>
      </c>
      <c r="AL30" s="30">
        <v>0.022666666666666675</v>
      </c>
      <c r="AM30" s="30">
        <v>1.6839999999999999</v>
      </c>
      <c r="AN30" s="30">
        <v>1.4019999999999999</v>
      </c>
      <c r="AO30" s="30">
        <v>11.514176786263228</v>
      </c>
      <c r="AP30" s="30">
        <f>AN30/AJ30</f>
        <v>0.45430978613091372</v>
      </c>
      <c r="AQ30" s="30">
        <v>-2.6232276918053601</v>
      </c>
      <c r="AR30" s="45">
        <f>(AN30/AJ30)*100</f>
        <v>45.430978613091369</v>
      </c>
      <c r="AS30" s="46">
        <f>AJ30-AA30</f>
        <v>-0.31840000000000002</v>
      </c>
      <c r="AT30" s="30">
        <f>AN30-AE30</f>
        <v>-0.041000000000000147</v>
      </c>
      <c r="AU30" s="30">
        <v>5.1453120283785694</v>
      </c>
      <c r="AV30" s="30">
        <v>0.16335698313186131</v>
      </c>
      <c r="AW30" s="30">
        <v>0.026470155277846241</v>
      </c>
      <c r="AX30" s="31">
        <v>0.026474737586269406</v>
      </c>
      <c r="AY30" s="30">
        <v>8.0128000000000004</v>
      </c>
      <c r="AZ30" s="30">
        <v>3.9487999999999999</v>
      </c>
      <c r="BA30" s="30">
        <v>9.8620107743060856</v>
      </c>
      <c r="BB30" s="30">
        <v>1.5445580166045847</v>
      </c>
      <c r="BC30" s="39">
        <v>-2.8780351582898431</v>
      </c>
      <c r="BD30" s="30">
        <v>6.8700000000000001</v>
      </c>
      <c r="BE30" s="30">
        <v>3.1788000000000003</v>
      </c>
      <c r="BF30" s="30">
        <v>20.754679654874138</v>
      </c>
      <c r="BG30" s="30">
        <v>3.3550570731033802</v>
      </c>
      <c r="BH30" s="39">
        <v>-2.7717029040855268</v>
      </c>
      <c r="BI30" s="30">
        <v>10.0512</v>
      </c>
      <c r="BJ30" s="30">
        <v>4.8480000000000008</v>
      </c>
      <c r="BK30" s="30">
        <v>30.555361778947049</v>
      </c>
      <c r="BL30" s="30">
        <v>3.6462631914663057</v>
      </c>
      <c r="BM30" s="39">
        <v>-2.6418750243110654</v>
      </c>
      <c r="BN30" s="30">
        <v>10.932</v>
      </c>
      <c r="BO30" s="30">
        <v>5.463000000000001</v>
      </c>
      <c r="BP30" s="30">
        <v>39.144107824075235</v>
      </c>
      <c r="BQ30" s="30">
        <v>4.6299210521550398</v>
      </c>
      <c r="BR30" s="39">
        <v>-2.2531739941619504</v>
      </c>
      <c r="BS30" s="30">
        <v>7.9650000000000007</v>
      </c>
      <c r="BT30" s="30">
        <v>4.5434999999999999</v>
      </c>
      <c r="BU30" s="30">
        <v>44.583039030915707</v>
      </c>
      <c r="BV30" s="30">
        <v>6.1949398699199438</v>
      </c>
      <c r="BW30" s="39">
        <v>-2.7468300350483896</v>
      </c>
      <c r="BX30" s="30">
        <v>0.13928977333689868</v>
      </c>
      <c r="BY30" s="30">
        <v>1.0947332254990485</v>
      </c>
      <c r="BZ30" s="30">
        <v>0.063675543558702197</v>
      </c>
      <c r="CA30" s="30">
        <v>1.0686666666666669</v>
      </c>
      <c r="CB30" s="30">
        <v>0.9900000000000001</v>
      </c>
      <c r="CC30" s="30">
        <v>0.078666666666666676</v>
      </c>
      <c r="CD30" s="30">
        <v>8.279855607225441</v>
      </c>
      <c r="CE30" s="30">
        <v>8.4855736243614928</v>
      </c>
      <c r="CF30" s="30">
        <v>0.054500000000000007</v>
      </c>
      <c r="CG30" s="30">
        <v>3.0276209327275958</v>
      </c>
      <c r="CH30" s="30">
        <v>0.65800000000000003</v>
      </c>
      <c r="CI30" s="30">
        <v>0.60399999999999998</v>
      </c>
      <c r="CJ30" s="30">
        <v>0.33200000000000002</v>
      </c>
      <c r="CK30" s="30">
        <v>66.67320365256171</v>
      </c>
      <c r="CL30" s="30">
        <v>61.141481962728875</v>
      </c>
      <c r="CM30" s="30">
        <v>33.326796347438297</v>
      </c>
      <c r="CN30" s="30">
        <v>-1.5394856450237862</v>
      </c>
      <c r="CO30" s="30">
        <v>-1.6543788544686935</v>
      </c>
      <c r="CP30" s="30">
        <v>0.1161254795637582</v>
      </c>
      <c r="CQ30" s="31">
        <v>0.33333333333333331</v>
      </c>
      <c r="CR30" s="30">
        <v>2.5636666666666668</v>
      </c>
      <c r="CS30" s="30">
        <v>2.4179999999999997</v>
      </c>
      <c r="CT30" s="30">
        <v>0.14566666666666667</v>
      </c>
      <c r="CU30" s="30">
        <v>16.823246514940283</v>
      </c>
      <c r="CV30" s="30">
        <v>7.5555956457258269</v>
      </c>
      <c r="CW30" s="30">
        <v>0.063</v>
      </c>
      <c r="CX30" s="30">
        <v>4.0580761801285146</v>
      </c>
      <c r="CY30" s="30">
        <v>0.82399999999999995</v>
      </c>
      <c r="CZ30" s="30">
        <v>0.34600000000000003</v>
      </c>
      <c r="DA30" s="30">
        <v>1.5940000000000001</v>
      </c>
      <c r="DB30" s="30">
        <v>34.994305915252674</v>
      </c>
      <c r="DC30" s="30">
        <v>17.858990798449863</v>
      </c>
      <c r="DD30" s="30">
        <v>65.005694084747333</v>
      </c>
      <c r="DE30" s="30">
        <v>-1.7228361838950204</v>
      </c>
      <c r="DF30" s="30">
        <v>-1.7499745431508147</v>
      </c>
      <c r="DG30" s="30">
        <v>0.13575223487083335</v>
      </c>
      <c r="DH30" s="30">
        <v>3.5</v>
      </c>
      <c r="DI30" s="30">
        <v>1.3400000000000001</v>
      </c>
      <c r="DJ30" s="30">
        <v>1.2540000000000002</v>
      </c>
      <c r="DK30" s="30">
        <v>0.086000000000000007</v>
      </c>
      <c r="DL30" s="30">
        <v>8.9168522796525949</v>
      </c>
      <c r="DM30" s="30">
        <v>7.1246901584227382</v>
      </c>
      <c r="DN30" s="30">
        <v>0.048750000000000002</v>
      </c>
      <c r="DO30" s="30">
        <v>5.0978483828349246</v>
      </c>
      <c r="DP30" s="30">
        <v>0.628</v>
      </c>
      <c r="DQ30" s="30">
        <v>0.28200000000000003</v>
      </c>
      <c r="DR30" s="30">
        <v>0.626</v>
      </c>
      <c r="DS30" s="30">
        <v>50.439753195964379</v>
      </c>
      <c r="DT30" s="30">
        <v>22.27706299911269</v>
      </c>
      <c r="DU30" s="30">
        <v>49.560246804035614</v>
      </c>
      <c r="DV30" s="30">
        <v>-1.5717281293435128</v>
      </c>
      <c r="DW30" s="30">
        <v>-1.8914430368292614</v>
      </c>
      <c r="DX30" s="30">
        <v>0.10362492621959357</v>
      </c>
      <c r="DY30" s="30">
        <v>3</v>
      </c>
      <c r="DZ30" s="30">
        <v>1.9480000000000004</v>
      </c>
      <c r="EA30" s="30">
        <v>1.7560000000000002</v>
      </c>
      <c r="EB30" s="30">
        <v>0.26350000000000001</v>
      </c>
      <c r="EC30" s="30">
        <v>17.462159392310877</v>
      </c>
      <c r="ED30" s="30">
        <v>10.676643010283167</v>
      </c>
      <c r="EE30" s="30">
        <v>0.057500000000000009</v>
      </c>
      <c r="EF30" s="30">
        <v>0.65100000000000002</v>
      </c>
      <c r="EG30" s="30">
        <v>0.41699999999999998</v>
      </c>
      <c r="EH30" s="30">
        <v>1.1180000000000001</v>
      </c>
      <c r="EI30" s="30">
        <v>38.006931651555576</v>
      </c>
      <c r="EJ30" s="30">
        <v>22.938434609307908</v>
      </c>
      <c r="EK30" s="30">
        <v>61.993068348444424</v>
      </c>
      <c r="EL30" s="30">
        <v>-1.5422423293305554</v>
      </c>
      <c r="EM30" s="30">
        <v>-1.6456831454827927</v>
      </c>
      <c r="EN30" s="30">
        <v>0.18230435006684786</v>
      </c>
      <c r="EO30" s="30">
        <v>2.25</v>
      </c>
    </row>
    <row r="31" ht="14.25">
      <c r="A31" s="42" t="s">
        <v>138</v>
      </c>
      <c r="B31" s="52">
        <v>1</v>
      </c>
      <c r="C31" s="55">
        <v>7.0499999999999998</v>
      </c>
      <c r="D31" s="30">
        <v>0.4356000000000001</v>
      </c>
      <c r="E31" s="30">
        <v>0.75120000000000009</v>
      </c>
      <c r="F31" s="30">
        <v>1.3248000000000002</v>
      </c>
      <c r="G31" s="30">
        <v>0.13800000000000001</v>
      </c>
      <c r="H31" s="30">
        <v>10.626521284401681</v>
      </c>
      <c r="I31" s="30">
        <v>18.922781075514941</v>
      </c>
      <c r="J31" s="30">
        <v>0.25200000000000006</v>
      </c>
      <c r="K31" s="30">
        <v>56.32263852266194</v>
      </c>
      <c r="L31" s="30">
        <f>J31/F31</f>
        <v>0.19021739130434784</v>
      </c>
      <c r="M31" s="30">
        <v>-1.4054561871135054</v>
      </c>
      <c r="N31" s="31">
        <v>0.25147588645480756</v>
      </c>
      <c r="O31" s="30">
        <v>0.47039999999999998</v>
      </c>
      <c r="P31" s="30">
        <v>0.50760000000000005</v>
      </c>
      <c r="Q31" s="30">
        <v>1.0662</v>
      </c>
      <c r="R31" s="30">
        <v>0.088200000000000001</v>
      </c>
      <c r="S31" s="30">
        <v>10.934813989604947</v>
      </c>
      <c r="T31" s="30">
        <v>18.1117982663921</v>
      </c>
      <c r="U31" s="30">
        <v>0.23760000000000003</v>
      </c>
      <c r="V31" s="30">
        <v>49.986054538146711</v>
      </c>
      <c r="W31" s="30">
        <f>U31/Q31</f>
        <v>0.22284749577940352</v>
      </c>
      <c r="X31" s="30">
        <v>-1.4527752294531995</v>
      </c>
      <c r="Y31" s="31">
        <v>0.44776848798589119</v>
      </c>
      <c r="Z31" s="32">
        <f>F31-Q31</f>
        <v>0.25860000000000016</v>
      </c>
      <c r="AA31" s="30">
        <v>1.3493999999999999</v>
      </c>
      <c r="AB31" s="30">
        <v>2.5128000000000004</v>
      </c>
      <c r="AC31" s="30">
        <v>0.06720000000000001</v>
      </c>
      <c r="AD31" s="30">
        <v>0.63780000000000003</v>
      </c>
      <c r="AE31" s="30">
        <v>0.71160000000000001</v>
      </c>
      <c r="AF31" s="30">
        <v>12.802594290935946</v>
      </c>
      <c r="AG31" s="30">
        <f>AF31/AA31</f>
        <v>9.4876198984259279</v>
      </c>
      <c r="AH31" s="30">
        <v>-2.0759116857116995</v>
      </c>
      <c r="AI31" s="44">
        <f>(AE31/AA31)*100</f>
        <v>52.734548688305914</v>
      </c>
      <c r="AJ31" s="30">
        <v>1.4148000000000001</v>
      </c>
      <c r="AK31" s="30">
        <v>3.1901999999999999</v>
      </c>
      <c r="AL31" s="30">
        <v>0.12120000000000002</v>
      </c>
      <c r="AM31" s="30">
        <v>0.66660000000000008</v>
      </c>
      <c r="AN31" s="30">
        <v>0.74820000000000009</v>
      </c>
      <c r="AO31" s="30">
        <v>12.056091748875469</v>
      </c>
      <c r="AP31" s="30">
        <f>AN31/AJ31</f>
        <v>0.52883799830364719</v>
      </c>
      <c r="AQ31" s="30">
        <v>-1.9919825157665016</v>
      </c>
      <c r="AR31" s="45">
        <f>(AN31/AJ31)*100</f>
        <v>52.883799830364723</v>
      </c>
      <c r="AS31" s="46">
        <f>AJ31-AA31</f>
        <v>0.065400000000000125</v>
      </c>
      <c r="AT31" s="30">
        <f>AN31-AE31</f>
        <v>0.036600000000000077</v>
      </c>
      <c r="AU31" s="30">
        <v>0.86728315243842402</v>
      </c>
      <c r="AV31" s="30">
        <v>0.2651691512040063</v>
      </c>
      <c r="AW31" s="30">
        <v>0.076607389523574154</v>
      </c>
      <c r="AX31" s="31">
        <v>0.077271589372173835</v>
      </c>
      <c r="AY31" s="30">
        <v>1.7887999999999997</v>
      </c>
      <c r="AZ31" s="30">
        <v>0.87679999999999991</v>
      </c>
      <c r="BA31" s="30">
        <v>11.077056876596306</v>
      </c>
      <c r="BB31" s="30">
        <v>7.3593750335967414</v>
      </c>
      <c r="BC31" s="39">
        <v>-2.3791626562667192</v>
      </c>
      <c r="BD31" s="30">
        <v>2.2284000000000002</v>
      </c>
      <c r="BE31" s="30">
        <v>1.0524</v>
      </c>
      <c r="BF31" s="30">
        <v>20.969722341884829</v>
      </c>
      <c r="BG31" s="30">
        <v>10.698487399128947</v>
      </c>
      <c r="BH31" s="39">
        <v>-2.2552550998807992</v>
      </c>
      <c r="BI31" s="30">
        <v>1.6728000000000001</v>
      </c>
      <c r="BJ31" s="30">
        <v>0.82319999999999993</v>
      </c>
      <c r="BK31" s="30">
        <v>26.481921045805159</v>
      </c>
      <c r="BL31" s="30">
        <v>16.632509677368851</v>
      </c>
      <c r="BM31" s="39">
        <v>-2.3087380837157561</v>
      </c>
      <c r="BN31" s="30">
        <v>1.5816000000000001</v>
      </c>
      <c r="BO31" s="30">
        <v>0.86520000000000008</v>
      </c>
      <c r="BP31" s="30">
        <v>37.495342980632884</v>
      </c>
      <c r="BQ31" s="30">
        <v>23.92366006353058</v>
      </c>
      <c r="BR31" s="39">
        <v>-2.0848541623893349</v>
      </c>
      <c r="BS31" s="30">
        <v>3.0516000000000005</v>
      </c>
      <c r="BT31" s="30">
        <v>1.3908</v>
      </c>
      <c r="BU31" s="30">
        <v>46.180046646047352</v>
      </c>
      <c r="BV31" s="30">
        <v>17.014213515191038</v>
      </c>
      <c r="BW31" s="39">
        <v>-2.3504521254231312</v>
      </c>
      <c r="BX31" s="49">
        <v>-0.0088065808939885928</v>
      </c>
      <c r="BY31" s="49">
        <v>1.3986145597246165</v>
      </c>
      <c r="BZ31" s="49">
        <v>0.00069724590065112224</v>
      </c>
      <c r="CA31" s="30">
        <v>1.3070000000000002</v>
      </c>
      <c r="CB31" s="30">
        <v>0.51200000000000001</v>
      </c>
      <c r="CC31" s="30">
        <v>0.80600000000000005</v>
      </c>
      <c r="CD31" s="30">
        <v>9.7365556871941195</v>
      </c>
      <c r="CE31" s="30">
        <v>19.165193845522918</v>
      </c>
      <c r="CF31" s="30">
        <v>0.035499999999999997</v>
      </c>
      <c r="CG31" s="30">
        <v>3.1927155453394791</v>
      </c>
      <c r="CH31" s="30">
        <v>0.19950000000000001</v>
      </c>
      <c r="CI31" s="30">
        <v>0.090000000000000024</v>
      </c>
      <c r="CJ31" s="30">
        <v>0.30800000000000005</v>
      </c>
      <c r="CK31" s="30">
        <v>39.720955620078428</v>
      </c>
      <c r="CL31" s="30">
        <v>18.134107607791819</v>
      </c>
      <c r="CM31" s="30">
        <v>60.279044379921586</v>
      </c>
      <c r="CN31" s="30">
        <v>-1.4422972957008582</v>
      </c>
      <c r="CO31" s="30">
        <v>-1.3972481792817462</v>
      </c>
      <c r="CP31" s="30">
        <v>0.088118928212867681</v>
      </c>
      <c r="CQ31" s="31">
        <v>2</v>
      </c>
      <c r="CR31" s="30">
        <v>1.3707500000000001</v>
      </c>
      <c r="CS31" s="30">
        <v>0.70350000000000001</v>
      </c>
      <c r="CT31" s="30">
        <v>0.66725000000000012</v>
      </c>
      <c r="CU31" s="30">
        <v>17.27553465869563</v>
      </c>
      <c r="CV31" s="30">
        <v>26.447417739987106</v>
      </c>
      <c r="CW31" s="30">
        <v>0.069250000000000006</v>
      </c>
      <c r="CX31" s="30">
        <v>4.0923651781708186</v>
      </c>
      <c r="CY31" s="30">
        <v>0.37350000000000005</v>
      </c>
      <c r="CZ31" s="30">
        <v>0.21600000000000003</v>
      </c>
      <c r="DA31" s="30">
        <v>0.33000000000000002</v>
      </c>
      <c r="DB31" s="30">
        <v>53.314278263478556</v>
      </c>
      <c r="DC31" s="30">
        <v>32.178987859339877</v>
      </c>
      <c r="DD31" s="30">
        <v>46.685721736521444</v>
      </c>
      <c r="DE31" s="30">
        <v>-1.4744082625514647</v>
      </c>
      <c r="DF31" s="30">
        <v>-1.5510649718390253</v>
      </c>
      <c r="DG31" s="30">
        <v>0.17907543586086497</v>
      </c>
      <c r="DH31" s="30">
        <v>0.5</v>
      </c>
      <c r="DI31" s="30">
        <v>1.5335000000000001</v>
      </c>
      <c r="DJ31" s="30">
        <v>1.006</v>
      </c>
      <c r="DK31" s="30">
        <v>0.61850000000000005</v>
      </c>
      <c r="DL31" s="30">
        <v>9.6311503846988042</v>
      </c>
      <c r="DM31" s="30">
        <v>10.356814986446867</v>
      </c>
      <c r="DN31" s="30">
        <v>0.0625</v>
      </c>
      <c r="DO31" s="30">
        <v>5.088939609270593</v>
      </c>
      <c r="DP31" s="30">
        <v>0.23250000000000001</v>
      </c>
      <c r="DQ31" s="30">
        <v>0.094500000000000001</v>
      </c>
      <c r="DR31" s="30">
        <v>0.77600000000000013</v>
      </c>
      <c r="DS31" s="30">
        <v>27.903960271167968</v>
      </c>
      <c r="DT31" s="30">
        <v>11.651342353240096</v>
      </c>
      <c r="DU31" s="30">
        <v>72.096039728832039</v>
      </c>
      <c r="DV31" s="30">
        <v>-1.4884604331931381</v>
      </c>
      <c r="DW31" s="30">
        <v>-1.4427543608317566</v>
      </c>
      <c r="DX31" s="30">
        <v>0.28429911934224522</v>
      </c>
      <c r="DY31" s="30">
        <v>1.75</v>
      </c>
      <c r="DZ31" s="30">
        <v>1.2210000000000001</v>
      </c>
      <c r="EA31" s="30">
        <v>0.58000000000000007</v>
      </c>
      <c r="EB31" s="30">
        <v>0.59999999999999998</v>
      </c>
      <c r="EC31" s="30">
        <v>16.769678216931869</v>
      </c>
      <c r="ED31" s="30">
        <v>29.283610835561589</v>
      </c>
      <c r="EE31" s="30">
        <v>0.072000000000000008</v>
      </c>
      <c r="EF31" s="30">
        <v>0.26100000000000001</v>
      </c>
      <c r="EG31" s="30">
        <v>0.10950000000000001</v>
      </c>
      <c r="EH31" s="30">
        <v>0.31000000000000005</v>
      </c>
      <c r="EI31" s="30">
        <v>42.845062214062999</v>
      </c>
      <c r="EJ31" s="30">
        <v>17.824664160620102</v>
      </c>
      <c r="EK31" s="30">
        <v>57.154937785937001</v>
      </c>
      <c r="EL31" s="30">
        <v>-1.4298199492369168</v>
      </c>
      <c r="EM31" s="30">
        <v>-1.4747342667977774</v>
      </c>
      <c r="EN31" s="30">
        <v>0.24116259653113201</v>
      </c>
      <c r="EO31" s="30">
        <v>0.5</v>
      </c>
    </row>
    <row r="32" ht="14.25">
      <c r="A32" s="42" t="s">
        <v>139</v>
      </c>
      <c r="B32" s="43">
        <v>1</v>
      </c>
      <c r="C32" s="43">
        <v>7.0700000000000003</v>
      </c>
      <c r="D32" s="30">
        <v>0.65200000000000002</v>
      </c>
      <c r="E32" s="30">
        <v>1.1933333333333334</v>
      </c>
      <c r="F32" s="30">
        <v>2.0626666666666669</v>
      </c>
      <c r="G32" s="30">
        <v>0.21733333333333338</v>
      </c>
      <c r="H32" s="30">
        <v>10.935872965229164</v>
      </c>
      <c r="I32" s="30">
        <v>17.644291345096626</v>
      </c>
      <c r="J32" s="30">
        <v>0.33000000000000002</v>
      </c>
      <c r="K32" s="30">
        <v>51.205797784247004</v>
      </c>
      <c r="L32" s="30">
        <f>J32/F32</f>
        <v>0.15998707175177762</v>
      </c>
      <c r="M32" s="30">
        <v>-1.4795975499635505</v>
      </c>
      <c r="N32" s="31">
        <v>0.17609201886854334</v>
      </c>
      <c r="O32" s="30">
        <v>0.59899999999999998</v>
      </c>
      <c r="P32" s="30">
        <v>0.63600000000000001</v>
      </c>
      <c r="Q32" s="30">
        <v>1.5440000000000003</v>
      </c>
      <c r="R32" s="30">
        <v>0.309</v>
      </c>
      <c r="S32" s="30">
        <v>10.461546950402273</v>
      </c>
      <c r="T32" s="30">
        <v>17.696288511632464</v>
      </c>
      <c r="U32" s="30">
        <v>0.311</v>
      </c>
      <c r="V32" s="30">
        <v>52.666718922454244</v>
      </c>
      <c r="W32" s="30">
        <f>U32/Q32</f>
        <v>0.20142487046632121</v>
      </c>
      <c r="X32" s="30">
        <v>-1.4682067220290962</v>
      </c>
      <c r="Y32" s="31">
        <v>0.11194158957830364</v>
      </c>
      <c r="Z32" s="32">
        <f>F32-Q32</f>
        <v>0.51866666666666661</v>
      </c>
      <c r="AA32" s="30">
        <v>3.4050000000000002</v>
      </c>
      <c r="AB32" s="30">
        <v>5.7366000000000001</v>
      </c>
      <c r="AC32" s="30">
        <v>0.0126</v>
      </c>
      <c r="AD32" s="30">
        <v>1.857</v>
      </c>
      <c r="AE32" s="30">
        <v>1.548</v>
      </c>
      <c r="AF32" s="30">
        <v>11.962077388053043</v>
      </c>
      <c r="AG32" s="30">
        <f>AF32/AA32</f>
        <v>3.5130917439215983</v>
      </c>
      <c r="AH32" s="30">
        <v>-3.0435298975780354</v>
      </c>
      <c r="AI32" s="44">
        <f>(AE32/AA32)*100</f>
        <v>45.46255506607929</v>
      </c>
      <c r="AJ32" s="30">
        <v>3.8285999999999993</v>
      </c>
      <c r="AK32" s="30">
        <v>7.3506000000000018</v>
      </c>
      <c r="AL32" s="30">
        <v>0.045000000000000012</v>
      </c>
      <c r="AM32" s="30">
        <v>2.0298000000000003</v>
      </c>
      <c r="AN32" s="30">
        <v>1.7988000000000004</v>
      </c>
      <c r="AO32" s="30">
        <v>12.076958835305696</v>
      </c>
      <c r="AP32" s="30">
        <f>AN32/AJ32</f>
        <v>0.46983231468421893</v>
      </c>
      <c r="AQ32" s="30">
        <v>-2.9785018544194104</v>
      </c>
      <c r="AR32" s="45">
        <f>(AN32/AJ32)*100</f>
        <v>46.983231468421891</v>
      </c>
      <c r="AS32" s="46">
        <f>AJ32-AA32</f>
        <v>0.42359999999999909</v>
      </c>
      <c r="AT32" s="30">
        <f>AN32-AE32</f>
        <v>0.25080000000000036</v>
      </c>
      <c r="AU32" s="30">
        <v>10.860299196557966</v>
      </c>
      <c r="AV32" s="30">
        <v>-0.033445893117054454</v>
      </c>
      <c r="AW32" s="30">
        <v>0.0013019414416546304</v>
      </c>
      <c r="AX32" s="31">
        <v>0.0013050697632920481</v>
      </c>
      <c r="AY32" s="30">
        <v>13.444500000000001</v>
      </c>
      <c r="AZ32" s="30">
        <v>6.5115000000000007</v>
      </c>
      <c r="BA32" s="30">
        <v>10.265443769437908</v>
      </c>
      <c r="BB32" s="30">
        <v>0.80803756824320261</v>
      </c>
      <c r="BC32" s="39">
        <v>-3.7916192401645619</v>
      </c>
      <c r="BD32" s="30">
        <v>5.6736000000000004</v>
      </c>
      <c r="BE32" s="30">
        <v>2.6928000000000001</v>
      </c>
      <c r="BF32" s="30">
        <v>17.897063229643258</v>
      </c>
      <c r="BG32" s="30">
        <v>3.3633623189844237</v>
      </c>
      <c r="BH32" s="39">
        <v>-3.2815413442512535</v>
      </c>
      <c r="BI32" s="30">
        <v>9.1776</v>
      </c>
      <c r="BJ32" s="30">
        <v>4.377600000000001</v>
      </c>
      <c r="BK32" s="30">
        <v>28.048719133182647</v>
      </c>
      <c r="BL32" s="30">
        <v>3.1818796738319528</v>
      </c>
      <c r="BM32" s="39">
        <v>-3.0438843617082809</v>
      </c>
      <c r="BN32" s="30">
        <v>15.253500000000001</v>
      </c>
      <c r="BO32" s="30">
        <v>6.9465000000000003</v>
      </c>
      <c r="BP32" s="30">
        <v>37.46281695655464</v>
      </c>
      <c r="BQ32" s="30">
        <v>2.6501784974676541</v>
      </c>
      <c r="BR32" s="39">
        <v>-3.4821645447434189</v>
      </c>
      <c r="BS32" s="30">
        <v>7.0728000000000009</v>
      </c>
      <c r="BT32" s="30">
        <v>3.5316000000000001</v>
      </c>
      <c r="BU32" s="30">
        <v>44.238138833175221</v>
      </c>
      <c r="BV32" s="30">
        <v>6.5712336928182769</v>
      </c>
      <c r="BW32" s="39">
        <v>-2.883372925620292</v>
      </c>
      <c r="BX32" s="30">
        <v>0.11854623630244972</v>
      </c>
      <c r="BY32" s="30">
        <v>0.36983479273324776</v>
      </c>
      <c r="BZ32" s="30">
        <v>0.36887251522531483</v>
      </c>
      <c r="CA32" s="30">
        <v>0.75800000000000001</v>
      </c>
      <c r="CB32" s="30">
        <v>0.41100000000000003</v>
      </c>
      <c r="CC32" s="30">
        <v>0.34699999999999998</v>
      </c>
      <c r="CD32" s="30">
        <v>8.7717125133466816</v>
      </c>
      <c r="CE32" s="30">
        <v>22.37064604737423</v>
      </c>
      <c r="CF32" s="30">
        <v>0.053500000000000006</v>
      </c>
      <c r="CG32" s="30">
        <v>3.1244529259616658</v>
      </c>
      <c r="CH32" s="30">
        <v>0.186</v>
      </c>
      <c r="CI32" s="30">
        <v>0.082500000000000004</v>
      </c>
      <c r="CJ32" s="30">
        <v>0.22500000000000003</v>
      </c>
      <c r="CK32" s="30">
        <v>47.874116117344556</v>
      </c>
      <c r="CL32" s="30">
        <v>22.445688697989713</v>
      </c>
      <c r="CM32" s="30">
        <v>52.125883882655444</v>
      </c>
      <c r="CN32" s="30">
        <v>-1.4382970772186223</v>
      </c>
      <c r="CO32" s="30">
        <v>-1.4029568872421652</v>
      </c>
      <c r="CP32" s="30">
        <v>0.11674681390734203</v>
      </c>
      <c r="CQ32" s="31">
        <v>0</v>
      </c>
      <c r="CR32" s="30">
        <v>0.91149999999999998</v>
      </c>
      <c r="CS32" s="30">
        <v>0.58200000000000007</v>
      </c>
      <c r="CT32" s="30">
        <v>0.32950000000000002</v>
      </c>
      <c r="CU32" s="30">
        <v>17.621461086542389</v>
      </c>
      <c r="CV32" s="30">
        <v>31.017130204329852</v>
      </c>
      <c r="CW32" s="30">
        <v>0.043999999999999997</v>
      </c>
      <c r="CX32" s="30">
        <v>4.1338665808492578</v>
      </c>
      <c r="CY32" s="30">
        <v>0.27750000000000002</v>
      </c>
      <c r="CZ32" s="30">
        <v>0.064500000000000002</v>
      </c>
      <c r="DA32" s="30">
        <v>0.30449999999999999</v>
      </c>
      <c r="DB32" s="30">
        <v>47.576696402353996</v>
      </c>
      <c r="DC32" s="30">
        <v>11.412206536153017</v>
      </c>
      <c r="DD32" s="30">
        <v>52.423303597646012</v>
      </c>
      <c r="DE32" s="30">
        <v>-1.5721210963568324</v>
      </c>
      <c r="DF32" s="30">
        <v>-1.5473822807779256</v>
      </c>
      <c r="DG32" s="30">
        <v>0.18174108510341913</v>
      </c>
      <c r="DH32" s="30">
        <v>0</v>
      </c>
      <c r="DI32" s="30">
        <v>0.81399999999999983</v>
      </c>
      <c r="DJ32" s="30">
        <v>0.48600000000000004</v>
      </c>
      <c r="DK32" s="30">
        <v>0.36100000000000004</v>
      </c>
      <c r="DL32" s="30">
        <v>9.0793550739771902</v>
      </c>
      <c r="DM32" s="30">
        <v>18.686025697504441</v>
      </c>
      <c r="DN32" s="30">
        <v>0.054500000000000007</v>
      </c>
      <c r="DO32" s="30">
        <v>5.2088065852216072</v>
      </c>
      <c r="DP32" s="30">
        <v>0.16200000000000003</v>
      </c>
      <c r="DQ32" s="30">
        <v>0.066000000000000003</v>
      </c>
      <c r="DR32" s="30">
        <v>0.33000000000000007</v>
      </c>
      <c r="DS32" s="30">
        <v>36.043121356274796</v>
      </c>
      <c r="DT32" s="30">
        <v>14.639699055058525</v>
      </c>
      <c r="DU32" s="30">
        <v>63.95687864372519</v>
      </c>
      <c r="DV32" s="30">
        <v>-1.4512071416613566</v>
      </c>
      <c r="DW32" s="30">
        <v>-1.3656823247783871</v>
      </c>
      <c r="DX32" s="30">
        <v>0.12763559883391196</v>
      </c>
      <c r="DY32" s="30">
        <v>0</v>
      </c>
      <c r="DZ32" s="30">
        <v>1.20225</v>
      </c>
      <c r="EA32" s="30">
        <v>0.80100000000000005</v>
      </c>
      <c r="EB32" s="30">
        <v>0.56025000000000003</v>
      </c>
      <c r="EC32" s="30">
        <v>17.460723148297607</v>
      </c>
      <c r="ED32" s="30">
        <v>22.246511715492876</v>
      </c>
      <c r="EE32" s="30">
        <v>0.059250000000000004</v>
      </c>
      <c r="EF32" s="30">
        <v>0.24299999999999997</v>
      </c>
      <c r="EG32" s="30">
        <v>0.090000000000000011</v>
      </c>
      <c r="EH32" s="30">
        <v>0.55800000000000005</v>
      </c>
      <c r="EI32" s="30">
        <v>40.774384714013195</v>
      </c>
      <c r="EJ32" s="30">
        <v>15.46955624355005</v>
      </c>
      <c r="EK32" s="30">
        <v>59.225615285986791</v>
      </c>
      <c r="EL32" s="30">
        <v>-1.4557981201120525</v>
      </c>
      <c r="EM32" s="30">
        <v>-1.4906594789553729</v>
      </c>
      <c r="EN32" s="30">
        <v>0.11664371916948243</v>
      </c>
      <c r="EO32" s="30">
        <v>0</v>
      </c>
    </row>
    <row r="33" ht="14.25">
      <c r="A33" s="42" t="s">
        <v>138</v>
      </c>
      <c r="B33" s="52">
        <v>1</v>
      </c>
      <c r="C33" s="55">
        <v>7.0700000000000003</v>
      </c>
      <c r="D33" s="30">
        <v>0.47160000000000002</v>
      </c>
      <c r="E33" s="30">
        <v>0.77400000000000002</v>
      </c>
      <c r="F33" s="30">
        <v>1.2630000000000001</v>
      </c>
      <c r="G33" s="30">
        <v>0.017400000000000002</v>
      </c>
      <c r="H33" s="30">
        <v>10.550409175903678</v>
      </c>
      <c r="I33" s="30">
        <v>18.419441578237347</v>
      </c>
      <c r="J33" s="30">
        <v>0.22739999999999999</v>
      </c>
      <c r="K33" s="30">
        <v>48.102668538032582</v>
      </c>
      <c r="L33" s="30">
        <f>J33/F33</f>
        <v>0.18004750593824226</v>
      </c>
      <c r="M33" s="30">
        <v>-1.4056431569158467</v>
      </c>
      <c r="N33" s="31">
        <v>0.092024579965764075</v>
      </c>
      <c r="O33" s="30">
        <v>0.4824</v>
      </c>
      <c r="P33" s="30">
        <v>0.64380000000000004</v>
      </c>
      <c r="Q33" s="30">
        <v>1.1634</v>
      </c>
      <c r="R33" s="30">
        <v>0.037200000000000004</v>
      </c>
      <c r="S33" s="30">
        <v>10.410595989847611</v>
      </c>
      <c r="T33" s="30">
        <v>17.266117420750014</v>
      </c>
      <c r="U33" s="30">
        <v>0.219</v>
      </c>
      <c r="V33" s="30">
        <v>45.761405691784461</v>
      </c>
      <c r="W33" s="30">
        <f>U33/Q33</f>
        <v>0.1882413615265601</v>
      </c>
      <c r="X33" s="30">
        <v>-1.4313808970409474</v>
      </c>
      <c r="Y33" s="31">
        <v>0.090820802532139616</v>
      </c>
      <c r="Z33" s="32">
        <f>F33-Q33</f>
        <v>0.099600000000000133</v>
      </c>
      <c r="AA33" s="30">
        <v>3.2279999999999993</v>
      </c>
      <c r="AB33" s="30">
        <v>6.6252000000000013</v>
      </c>
      <c r="AC33" s="30">
        <v>0.027600000000000006</v>
      </c>
      <c r="AD33" s="30">
        <v>2.0220000000000007</v>
      </c>
      <c r="AE33" s="30">
        <v>1.206</v>
      </c>
      <c r="AF33" s="30">
        <v>11.225865914702601</v>
      </c>
      <c r="AG33" s="30">
        <f>AF33/AA33</f>
        <v>3.4776536290900255</v>
      </c>
      <c r="AH33" s="30">
        <v>-2.3094982910482722</v>
      </c>
      <c r="AI33" s="44">
        <f>(AE33/AA33)*100</f>
        <v>37.360594795539043</v>
      </c>
      <c r="AJ33" s="30">
        <v>3.1026000000000002</v>
      </c>
      <c r="AK33" s="30">
        <v>5.9454000000000011</v>
      </c>
      <c r="AL33" s="30">
        <v>0.255</v>
      </c>
      <c r="AM33" s="30">
        <v>1.9650000000000003</v>
      </c>
      <c r="AN33" s="30">
        <v>1.1376000000000002</v>
      </c>
      <c r="AO33" s="30">
        <v>10.938112950165475</v>
      </c>
      <c r="AP33" s="30">
        <f>AN33/AJ33</f>
        <v>0.36666022046025915</v>
      </c>
      <c r="AQ33" s="30">
        <v>-2.3471839499033704</v>
      </c>
      <c r="AR33" s="45">
        <f>(AN33/AJ33)*100</f>
        <v>36.666022046025915</v>
      </c>
      <c r="AS33" s="46">
        <f>AJ33-AA33</f>
        <v>-0.12539999999999907</v>
      </c>
      <c r="AT33" s="30">
        <f>AN33-AE33</f>
        <v>-0.068399999999999794</v>
      </c>
      <c r="AU33" s="30">
        <v>3.4263899437008365</v>
      </c>
      <c r="AV33" s="30">
        <v>0.34231397133499653</v>
      </c>
      <c r="AW33" s="30">
        <v>0.45885513303576198</v>
      </c>
      <c r="AX33" s="31">
        <v>0.45896591066168146</v>
      </c>
      <c r="AY33" s="30">
        <v>7.2599999999999998</v>
      </c>
      <c r="AZ33" s="30">
        <v>3.7200000000000006</v>
      </c>
      <c r="BA33" s="30">
        <v>9.6031530171018424</v>
      </c>
      <c r="BB33" s="30">
        <v>1.3479862832565712</v>
      </c>
      <c r="BC33" s="39">
        <v>-2.8799856046453147</v>
      </c>
      <c r="BD33" s="30">
        <v>10.960800000000001</v>
      </c>
      <c r="BE33" s="30">
        <v>5.2428000000000008</v>
      </c>
      <c r="BF33" s="30">
        <v>19.394316372308346</v>
      </c>
      <c r="BG33" s="30">
        <v>1.7946456769229484</v>
      </c>
      <c r="BH33" s="39">
        <v>-2.8192314638629687</v>
      </c>
      <c r="BI33" s="30">
        <v>9.7044000000000015</v>
      </c>
      <c r="BJ33" s="30">
        <v>4.5827999999999998</v>
      </c>
      <c r="BK33" s="30">
        <v>28.963870155786474</v>
      </c>
      <c r="BL33" s="30">
        <v>3.0094520137928602</v>
      </c>
      <c r="BM33" s="39">
        <v>-2.2118457358675219</v>
      </c>
      <c r="BN33" s="30">
        <v>9.5519999999999996</v>
      </c>
      <c r="BO33" s="30">
        <v>5.2215000000000007</v>
      </c>
      <c r="BP33" s="30">
        <v>38.290320738974913</v>
      </c>
      <c r="BQ33" s="30">
        <v>4.0535023866554303</v>
      </c>
      <c r="BR33" s="39">
        <v>-2.3601336043323573</v>
      </c>
      <c r="BS33" s="30">
        <v>14.5572</v>
      </c>
      <c r="BT33" s="30">
        <v>7.9500000000000002</v>
      </c>
      <c r="BU33" s="30">
        <v>47.640142639445635</v>
      </c>
      <c r="BV33" s="30">
        <v>3.3201006756130353</v>
      </c>
      <c r="BW33" s="39">
        <v>-2.5815567186717834</v>
      </c>
      <c r="BX33" s="49">
        <v>0.16550272600819896</v>
      </c>
      <c r="BY33" s="49">
        <v>0.46653105814543078</v>
      </c>
      <c r="BZ33" s="49">
        <v>0.56128295923347393</v>
      </c>
      <c r="CA33" s="30">
        <v>0.99650000000000016</v>
      </c>
      <c r="CB33" s="30">
        <v>0.57000000000000006</v>
      </c>
      <c r="CC33" s="30">
        <v>0.42649999999999999</v>
      </c>
      <c r="CD33" s="30">
        <v>8.3506213043500317</v>
      </c>
      <c r="CE33" s="30">
        <v>15.252247276878512</v>
      </c>
      <c r="CF33" s="30">
        <v>0.045999999999999999</v>
      </c>
      <c r="CG33" s="30">
        <v>3.0564036336302687</v>
      </c>
      <c r="CH33" s="30">
        <v>0.25650000000000001</v>
      </c>
      <c r="CI33" s="30">
        <v>0.10500000000000001</v>
      </c>
      <c r="CJ33" s="30">
        <v>0.3135</v>
      </c>
      <c r="CK33" s="30">
        <v>44.60119110079809</v>
      </c>
      <c r="CL33" s="30">
        <v>17.249272431184568</v>
      </c>
      <c r="CM33" s="30">
        <v>55.39880889920191</v>
      </c>
      <c r="CN33" s="30">
        <v>-1.4330443074552845</v>
      </c>
      <c r="CO33" s="30">
        <v>-1.4834541179375971</v>
      </c>
      <c r="CP33" s="30">
        <v>0.051306476647336174</v>
      </c>
      <c r="CQ33" s="31">
        <v>0</v>
      </c>
      <c r="CR33" s="30">
        <v>1.1612500000000001</v>
      </c>
      <c r="CS33" s="30">
        <v>0.71250000000000002</v>
      </c>
      <c r="CT33" s="30">
        <v>0.44875000000000009</v>
      </c>
      <c r="CU33" s="30">
        <v>16.862473585938275</v>
      </c>
      <c r="CV33" s="30">
        <v>23.89311861243468</v>
      </c>
      <c r="CW33" s="30">
        <v>0.065750000000000003</v>
      </c>
      <c r="CX33" s="30">
        <v>4.0718129102523424</v>
      </c>
      <c r="CY33" s="30">
        <v>0.25800000000000001</v>
      </c>
      <c r="CZ33" s="30">
        <v>0.094500000000000001</v>
      </c>
      <c r="DA33" s="30">
        <v>0.45450000000000002</v>
      </c>
      <c r="DB33" s="30">
        <v>36.372755243722985</v>
      </c>
      <c r="DC33" s="30">
        <v>13.672018792986535</v>
      </c>
      <c r="DD33" s="30">
        <v>63.627244756277015</v>
      </c>
      <c r="DE33" s="30">
        <v>-1.4738991114810689</v>
      </c>
      <c r="DF33" s="30">
        <v>-1.4881546667906953</v>
      </c>
      <c r="DG33" s="30">
        <v>0.12012649672548828</v>
      </c>
      <c r="DH33" s="30">
        <v>0</v>
      </c>
      <c r="DI33" s="30">
        <v>1.1095000000000002</v>
      </c>
      <c r="DJ33" s="30">
        <v>0.55800000000000005</v>
      </c>
      <c r="DK33" s="30">
        <v>0.47649999999999998</v>
      </c>
      <c r="DL33" s="30">
        <v>9.0955039842372472</v>
      </c>
      <c r="DM33" s="30">
        <v>16.300186351679653</v>
      </c>
      <c r="DN33" s="30">
        <v>0.036000000000000004</v>
      </c>
      <c r="DO33" s="30">
        <v>5.1753406751820688</v>
      </c>
      <c r="DP33" s="30">
        <v>0.20400000000000004</v>
      </c>
      <c r="DQ33" s="30">
        <v>0.081000000000000016</v>
      </c>
      <c r="DR33" s="30">
        <v>0.37200000000000005</v>
      </c>
      <c r="DS33" s="30">
        <v>32.344632768361578</v>
      </c>
      <c r="DT33" s="30">
        <v>12.80754510661564</v>
      </c>
      <c r="DU33" s="30">
        <v>67.655367231638422</v>
      </c>
      <c r="DV33" s="30">
        <v>-1.4937981762153474</v>
      </c>
      <c r="DW33" s="30">
        <v>-1.4306730134276038</v>
      </c>
      <c r="DX33" s="30">
        <v>0.058465619482073246</v>
      </c>
      <c r="DY33" s="30">
        <v>0.5</v>
      </c>
      <c r="DZ33" s="30">
        <v>1.5569999999999999</v>
      </c>
      <c r="EA33" s="30">
        <v>1.0350000000000001</v>
      </c>
      <c r="EB33" s="30">
        <v>0.52200000000000002</v>
      </c>
      <c r="EC33" s="30">
        <v>17.203427674127351</v>
      </c>
      <c r="ED33" s="30">
        <v>16.892361083506014</v>
      </c>
      <c r="EE33" s="30">
        <v>0.035999999999999997</v>
      </c>
      <c r="EF33" s="30">
        <v>0.28650000000000003</v>
      </c>
      <c r="EG33" s="30">
        <v>0.079500000000000015</v>
      </c>
      <c r="EH33" s="30">
        <v>0.74849999999999994</v>
      </c>
      <c r="EI33" s="30">
        <v>27.715040300212053</v>
      </c>
      <c r="EJ33" s="30">
        <v>7.8864835100971131</v>
      </c>
      <c r="EK33" s="30">
        <v>72.284959699787962</v>
      </c>
      <c r="EL33" s="30">
        <v>-1.5273021961062514</v>
      </c>
      <c r="EM33" s="30">
        <v>-1.5491278094608245</v>
      </c>
      <c r="EN33" s="30">
        <v>0.13003138233335415</v>
      </c>
      <c r="EO33" s="30">
        <v>1.5</v>
      </c>
    </row>
    <row r="34" ht="14.25">
      <c r="A34" s="62" t="s">
        <v>138</v>
      </c>
      <c r="B34" s="52">
        <v>1</v>
      </c>
      <c r="C34" s="63">
        <v>7.0899999999999999</v>
      </c>
      <c r="D34" s="30">
        <v>0.93599999999999994</v>
      </c>
      <c r="E34" s="30">
        <v>1.712</v>
      </c>
      <c r="F34" s="30">
        <v>2.7440000000000002</v>
      </c>
      <c r="G34" s="30">
        <v>0.096000000000000016</v>
      </c>
      <c r="H34" s="30">
        <v>10.014483948155734</v>
      </c>
      <c r="I34" s="30">
        <v>17.984336533803845</v>
      </c>
      <c r="J34" s="30">
        <v>0.55866666666666676</v>
      </c>
      <c r="K34" s="30">
        <v>57.539200352092749</v>
      </c>
      <c r="L34" s="30">
        <f>J34/F34</f>
        <v>0.20359572400388729</v>
      </c>
      <c r="M34" s="30">
        <v>-1.4747844659635119</v>
      </c>
      <c r="N34" s="31">
        <v>0.11027359156667298</v>
      </c>
      <c r="O34" s="30">
        <v>1.0307999999999999</v>
      </c>
      <c r="P34" s="30">
        <v>1.2180000000000002</v>
      </c>
      <c r="Q34" s="30">
        <v>2.3262</v>
      </c>
      <c r="R34" s="30">
        <v>0.077399999999999997</v>
      </c>
      <c r="S34" s="30">
        <v>10.135565942351525</v>
      </c>
      <c r="T34" s="30">
        <v>16.029411178765606</v>
      </c>
      <c r="U34" s="30">
        <v>0.67979999999999996</v>
      </c>
      <c r="V34" s="30">
        <v>65.556147356188404</v>
      </c>
      <c r="W34" s="30">
        <f>U34/Q34</f>
        <v>0.29223626515346918</v>
      </c>
      <c r="X34" s="30">
        <v>-1.5626318985080943</v>
      </c>
      <c r="Y34" s="31">
        <v>0.29543212661248985</v>
      </c>
      <c r="Z34" s="32">
        <f>F34-Q34</f>
        <v>0.41780000000000017</v>
      </c>
      <c r="AA34" s="30">
        <v>3.0869999999999997</v>
      </c>
      <c r="AB34" s="30">
        <v>6.5471999999999992</v>
      </c>
      <c r="AC34" s="30">
        <v>0.022200000000000004</v>
      </c>
      <c r="AD34" s="30">
        <v>1.7238</v>
      </c>
      <c r="AE34" s="30">
        <v>1.3632</v>
      </c>
      <c r="AF34" s="30">
        <v>11.457322206304772</v>
      </c>
      <c r="AG34" s="30">
        <f>AF34/AA34</f>
        <v>3.7114746376108756</v>
      </c>
      <c r="AH34" s="30">
        <v>-2.3605143323226185</v>
      </c>
      <c r="AI34" s="44">
        <f>(AE34/AA34)*100</f>
        <v>44.159378036929056</v>
      </c>
      <c r="AJ34" s="30">
        <v>3.7716000000000003</v>
      </c>
      <c r="AK34" s="30">
        <v>7.4879999999999995</v>
      </c>
      <c r="AL34" s="30">
        <v>0.027600000000000003</v>
      </c>
      <c r="AM34" s="30">
        <v>2.1030000000000002</v>
      </c>
      <c r="AN34" s="30">
        <v>1.6686000000000003</v>
      </c>
      <c r="AO34" s="30">
        <v>11.431923834041324</v>
      </c>
      <c r="AP34" s="30">
        <f>AN34/AJ34</f>
        <v>0.44241170855870193</v>
      </c>
      <c r="AQ34" s="30">
        <v>-2.5701413059131246</v>
      </c>
      <c r="AR34" s="45">
        <f>(AN34/AJ34)*100</f>
        <v>44.241170855870195</v>
      </c>
      <c r="AS34" s="46">
        <f>AJ34-AA34</f>
        <v>0.68460000000000054</v>
      </c>
      <c r="AT34" s="30">
        <f>AN34-AE34</f>
        <v>0.30540000000000034</v>
      </c>
      <c r="AU34" s="30">
        <v>0.41808772322681415</v>
      </c>
      <c r="AV34" s="30">
        <v>0.70798973290265454</v>
      </c>
      <c r="AW34" s="30">
        <v>0.64376908840413849</v>
      </c>
      <c r="AX34" s="31">
        <v>0.65287871219612148</v>
      </c>
      <c r="AY34" s="30">
        <v>3.3195999999999999</v>
      </c>
      <c r="AZ34" s="30">
        <v>1.4012</v>
      </c>
      <c r="BA34" s="30">
        <v>9.6921725144590418</v>
      </c>
      <c r="BB34" s="30">
        <v>2.9687116283379327</v>
      </c>
      <c r="BC34" s="39">
        <v>-2.4020531526565989</v>
      </c>
      <c r="BD34" s="30">
        <v>3.0804</v>
      </c>
      <c r="BE34" s="30">
        <v>1.4808000000000001</v>
      </c>
      <c r="BF34" s="30">
        <v>20.748864712901849</v>
      </c>
      <c r="BG34" s="30">
        <v>6.81795457340358</v>
      </c>
      <c r="BH34" s="39">
        <v>-2.1585573474754716</v>
      </c>
      <c r="BI34" s="30">
        <v>3.5196000000000005</v>
      </c>
      <c r="BJ34" s="30">
        <v>1.6104000000000003</v>
      </c>
      <c r="BK34" s="30">
        <v>29.252122947669967</v>
      </c>
      <c r="BL34" s="30">
        <v>8.4137260598145343</v>
      </c>
      <c r="BM34" s="39">
        <v>-2.2381836671535802</v>
      </c>
      <c r="BN34" s="30">
        <v>5.5560000000000009</v>
      </c>
      <c r="BO34" s="30">
        <v>2.5476000000000001</v>
      </c>
      <c r="BP34" s="30">
        <v>39.480538685206284</v>
      </c>
      <c r="BQ34" s="30">
        <v>7.2340152765668275</v>
      </c>
      <c r="BR34" s="39">
        <v>-2.4735241657097662</v>
      </c>
      <c r="BS34" s="30">
        <v>7.1736000000000004</v>
      </c>
      <c r="BT34" s="30">
        <v>3.2016000000000004</v>
      </c>
      <c r="BU34" s="30">
        <v>48.30109723792399</v>
      </c>
      <c r="BV34" s="30">
        <v>6.8633417936365451</v>
      </c>
      <c r="BW34" s="39">
        <v>-2.78543525358775</v>
      </c>
      <c r="BX34" s="49">
        <v>0.26385799079622968</v>
      </c>
      <c r="BY34" s="49">
        <v>0.11109646326137301</v>
      </c>
      <c r="BZ34" s="49">
        <v>0.67377334786073273</v>
      </c>
      <c r="CA34" s="30">
        <v>0.82725000000000004</v>
      </c>
      <c r="CB34" s="30">
        <v>0.51800000000000002</v>
      </c>
      <c r="CC34" s="30">
        <v>0.30525000000000002</v>
      </c>
      <c r="CD34" s="30">
        <v>8.217376910514254</v>
      </c>
      <c r="CE34" s="30">
        <v>16.154456753014738</v>
      </c>
      <c r="CF34" s="30">
        <v>0.04725</v>
      </c>
      <c r="CG34" s="30">
        <v>2.9839772534001545</v>
      </c>
      <c r="CH34" s="30">
        <v>0.318</v>
      </c>
      <c r="CI34" s="30">
        <v>0.14700000000000002</v>
      </c>
      <c r="CJ34" s="30">
        <v>0.20999999999999999</v>
      </c>
      <c r="CK34" s="30">
        <v>59.9481847738043</v>
      </c>
      <c r="CL34" s="30">
        <v>27.576674033993356</v>
      </c>
      <c r="CM34" s="30">
        <v>40.0518152261957</v>
      </c>
      <c r="CN34" s="30">
        <v>-1.4629824232758062</v>
      </c>
      <c r="CO34" s="30">
        <v>-1.5075798850649578</v>
      </c>
      <c r="CP34" s="30">
        <v>0.042937131441907576</v>
      </c>
      <c r="CQ34" s="31">
        <v>0</v>
      </c>
      <c r="CR34" s="30">
        <v>1.306</v>
      </c>
      <c r="CS34" s="30">
        <v>0.88200000000000001</v>
      </c>
      <c r="CT34" s="30">
        <v>0.42400000000000004</v>
      </c>
      <c r="CU34" s="30">
        <v>16.45379379385059</v>
      </c>
      <c r="CV34" s="30">
        <v>19.513157828104617</v>
      </c>
      <c r="CW34" s="30">
        <v>0.057500000000000009</v>
      </c>
      <c r="CX34" s="30">
        <v>4.0348601756587588</v>
      </c>
      <c r="CY34" s="30">
        <v>0.36900000000000005</v>
      </c>
      <c r="CZ34" s="30">
        <v>0.1305</v>
      </c>
      <c r="DA34" s="30">
        <v>0.51300000000000012</v>
      </c>
      <c r="DB34" s="30">
        <v>42.285020507268442</v>
      </c>
      <c r="DC34" s="30">
        <v>14.304197593910658</v>
      </c>
      <c r="DD34" s="30">
        <v>57.714979492731558</v>
      </c>
      <c r="DE34" s="30">
        <v>-1.4687813632867468</v>
      </c>
      <c r="DF34" s="30">
        <v>-1.573115178545291</v>
      </c>
      <c r="DG34" s="30">
        <v>0.19026969568154545</v>
      </c>
      <c r="DH34" s="30">
        <v>0.25</v>
      </c>
      <c r="DI34" s="30">
        <v>1.4047499999999999</v>
      </c>
      <c r="DJ34" s="30">
        <v>0.93750000000000022</v>
      </c>
      <c r="DK34" s="30">
        <v>0.46725000000000005</v>
      </c>
      <c r="DL34" s="30">
        <v>8.8793669873814025</v>
      </c>
      <c r="DM34" s="30">
        <v>10.635635303202296</v>
      </c>
      <c r="DN34" s="30">
        <v>0.063750000000000001</v>
      </c>
      <c r="DO34" s="30">
        <v>5.0954964391354212</v>
      </c>
      <c r="DP34" s="30">
        <v>0.30299999999999999</v>
      </c>
      <c r="DQ34" s="30">
        <v>0.14549999999999999</v>
      </c>
      <c r="DR34" s="30">
        <v>0.63450000000000006</v>
      </c>
      <c r="DS34" s="30">
        <v>36.319280525445883</v>
      </c>
      <c r="DT34" s="30">
        <v>16.986556842223269</v>
      </c>
      <c r="DU34" s="30">
        <v>63.680719474554124</v>
      </c>
      <c r="DV34" s="30">
        <v>-1.4261178053579486</v>
      </c>
      <c r="DW34" s="30">
        <v>-1.5124000815030296</v>
      </c>
      <c r="DX34" s="30">
        <v>0.17394087195523769</v>
      </c>
      <c r="DY34" s="30">
        <v>1</v>
      </c>
      <c r="DZ34" s="30">
        <v>1.7063333333333333</v>
      </c>
      <c r="EA34" s="30">
        <v>1.302</v>
      </c>
      <c r="EB34" s="30">
        <v>0.50633333333333341</v>
      </c>
      <c r="EC34" s="30">
        <v>17.016251214433616</v>
      </c>
      <c r="ED34" s="30">
        <v>13.093477225386005</v>
      </c>
      <c r="EE34" s="30">
        <v>0.038249999999999999</v>
      </c>
      <c r="EF34" s="30">
        <v>0.442</v>
      </c>
      <c r="EG34" s="30">
        <v>0.19800000000000004</v>
      </c>
      <c r="EH34" s="30">
        <v>0.80700000000000005</v>
      </c>
      <c r="EI34" s="30">
        <v>36.585401681153108</v>
      </c>
      <c r="EJ34" s="30">
        <v>16.094036966579768</v>
      </c>
      <c r="EK34" s="30">
        <v>63.414598318846892</v>
      </c>
      <c r="EL34" s="30">
        <v>-1.4594640370277698</v>
      </c>
      <c r="EM34" s="30">
        <v>-1.5743283746358099</v>
      </c>
      <c r="EN34" s="30">
        <v>0.10829201189292044</v>
      </c>
      <c r="EO34" s="30">
        <v>1.3333333333333333</v>
      </c>
    </row>
    <row r="35" ht="14.25">
      <c r="A35" s="64" t="s">
        <v>139</v>
      </c>
      <c r="B35" s="43">
        <v>1</v>
      </c>
      <c r="C35" s="65">
        <v>7.1100000000000003</v>
      </c>
      <c r="D35" s="30">
        <v>1.02</v>
      </c>
      <c r="E35" s="30">
        <v>1.3222499999999999</v>
      </c>
      <c r="F35" s="30">
        <v>2.3775000000000004</v>
      </c>
      <c r="G35" s="30">
        <v>0.035250000000000004</v>
      </c>
      <c r="H35" s="30">
        <v>10.502257623684761</v>
      </c>
      <c r="I35" s="30">
        <v>17.914107954555611</v>
      </c>
      <c r="J35" s="30">
        <v>0.51975000000000005</v>
      </c>
      <c r="K35" s="30">
        <v>52.352489330313318</v>
      </c>
      <c r="L35" s="30">
        <f>J35/F35</f>
        <v>0.21861198738170345</v>
      </c>
      <c r="M35" s="30">
        <v>-1.5953085687637405</v>
      </c>
      <c r="N35" s="31">
        <v>0.16778021228243126</v>
      </c>
      <c r="O35" s="30">
        <v>0.91379999999999995</v>
      </c>
      <c r="P35" s="30">
        <v>1.1165999999999998</v>
      </c>
      <c r="Q35" s="30">
        <v>2.0670000000000002</v>
      </c>
      <c r="R35" s="30">
        <v>0.036600000000000008</v>
      </c>
      <c r="S35" s="30">
        <v>10.549518144733369</v>
      </c>
      <c r="T35" s="30">
        <v>17.243761791552277</v>
      </c>
      <c r="U35" s="30">
        <v>0.49920000000000009</v>
      </c>
      <c r="V35" s="30">
        <v>50.848317323587125</v>
      </c>
      <c r="W35" s="30">
        <f>U35/Q35</f>
        <v>0.24150943396226418</v>
      </c>
      <c r="X35" s="30">
        <v>-1.6010232938897482</v>
      </c>
      <c r="Y35" s="31">
        <v>0.11493698382019465</v>
      </c>
      <c r="Z35" s="32">
        <f>F35-Q35</f>
        <v>0.31050000000000022</v>
      </c>
      <c r="AA35" s="66">
        <v>3.6053333333333333</v>
      </c>
      <c r="AB35" s="67">
        <v>7.512666666666667</v>
      </c>
      <c r="AC35" s="67">
        <v>0.57066666666666666</v>
      </c>
      <c r="AD35" s="67">
        <v>2.1733333333333338</v>
      </c>
      <c r="AE35" s="67">
        <v>1.4320000000000002</v>
      </c>
      <c r="AF35" s="67">
        <v>11.348870970496201</v>
      </c>
      <c r="AG35" s="30">
        <f>AF35/AA35</f>
        <v>3.1478007499527183</v>
      </c>
      <c r="AH35" s="67">
        <v>-2.3706557697340918</v>
      </c>
      <c r="AI35" s="68">
        <f>(AE35/AA35)*100</f>
        <v>39.718934911242613</v>
      </c>
      <c r="AJ35" s="69">
        <v>4.0847999999999995</v>
      </c>
      <c r="AK35" s="67">
        <v>8.1426000000000016</v>
      </c>
      <c r="AL35" s="67">
        <v>0.057000000000000009</v>
      </c>
      <c r="AM35" s="67">
        <v>2.2050000000000001</v>
      </c>
      <c r="AN35" s="67">
        <v>1.8798000000000001</v>
      </c>
      <c r="AO35" s="67">
        <v>11.649910160907094</v>
      </c>
      <c r="AP35" s="30">
        <f>AN35/AJ35</f>
        <v>0.46019388954171569</v>
      </c>
      <c r="AQ35" s="67">
        <v>-2.4515305782042192</v>
      </c>
      <c r="AR35" s="70">
        <f>(AN35/AJ35)*100</f>
        <v>46.019388954171568</v>
      </c>
      <c r="AS35" s="71">
        <f>AJ35-AA35</f>
        <v>0.47946666666666626</v>
      </c>
      <c r="AT35" s="66">
        <f>AN35-AE35</f>
        <v>0.44779999999999998</v>
      </c>
      <c r="AU35" s="30">
        <v>74.65025841734996</v>
      </c>
      <c r="AV35" s="30">
        <v>-0.75454052806448513</v>
      </c>
      <c r="AW35" s="30">
        <v>0.39007669085684948</v>
      </c>
      <c r="AX35" s="31">
        <v>0.39638784472107597</v>
      </c>
      <c r="AY35" s="30">
        <v>14.0648</v>
      </c>
      <c r="AZ35" s="30">
        <v>6.9056000000000015</v>
      </c>
      <c r="BA35" s="30">
        <v>10.500569019540185</v>
      </c>
      <c r="BB35" s="30">
        <v>0.80982404338588077</v>
      </c>
      <c r="BC35" s="39">
        <v>-2.8762123118749727</v>
      </c>
      <c r="BD35" s="30">
        <v>3.7664999999999997</v>
      </c>
      <c r="BE35" s="30">
        <v>1.8015000000000001</v>
      </c>
      <c r="BF35" s="30">
        <v>20.142399422857416</v>
      </c>
      <c r="BG35" s="30">
        <v>5.4291650288267599</v>
      </c>
      <c r="BH35" s="39">
        <v>-2.2691483037566109</v>
      </c>
      <c r="BI35" s="30">
        <v>4.4355000000000002</v>
      </c>
      <c r="BJ35" s="30">
        <v>2.0955000000000004</v>
      </c>
      <c r="BK35" s="30">
        <v>29.443583878625759</v>
      </c>
      <c r="BL35" s="30">
        <v>6.8421908972580914</v>
      </c>
      <c r="BM35" s="39">
        <v>-2.3201219681437486</v>
      </c>
      <c r="BN35" s="30">
        <v>4.2732000000000001</v>
      </c>
      <c r="BO35" s="30">
        <v>1.9788000000000001</v>
      </c>
      <c r="BP35" s="30">
        <v>38.644126699969618</v>
      </c>
      <c r="BQ35" s="30">
        <v>9.394657930966094</v>
      </c>
      <c r="BR35" s="39">
        <v>-2.1734565552966219</v>
      </c>
      <c r="BS35" s="30">
        <v>8.1059999999999999</v>
      </c>
      <c r="BT35" s="30">
        <v>3.9816000000000003</v>
      </c>
      <c r="BU35" s="30">
        <v>47.945361106231488</v>
      </c>
      <c r="BV35" s="30">
        <v>6.7942296275894307</v>
      </c>
      <c r="BW35" s="39">
        <v>-2.4511689573285054</v>
      </c>
      <c r="BX35" s="66">
        <v>0.75430054036809746</v>
      </c>
      <c r="BY35" s="67">
        <v>-1.2830520013853826</v>
      </c>
      <c r="BZ35" s="67">
        <v>0.18533466523209818</v>
      </c>
      <c r="CA35" s="30">
        <v>0.97125000000000006</v>
      </c>
      <c r="CB35" s="30">
        <v>0.76349999999999996</v>
      </c>
      <c r="CC35" s="30">
        <v>0.20775000000000002</v>
      </c>
      <c r="CD35" s="30">
        <v>8.1001236631655278</v>
      </c>
      <c r="CE35" s="30">
        <v>10.773623041171867</v>
      </c>
      <c r="CF35" s="30">
        <v>0.065250000000000002</v>
      </c>
      <c r="CG35" s="30">
        <v>3.0083474200164608</v>
      </c>
      <c r="CH35" s="30">
        <v>0.47699999999999998</v>
      </c>
      <c r="CI35" s="30">
        <v>0.32400000000000007</v>
      </c>
      <c r="CJ35" s="30">
        <v>0.28650000000000003</v>
      </c>
      <c r="CK35" s="30">
        <v>61.737212675678833</v>
      </c>
      <c r="CL35" s="30">
        <v>41.545611222054028</v>
      </c>
      <c r="CM35" s="30">
        <v>38.262787324321167</v>
      </c>
      <c r="CN35" s="30">
        <v>-1.5543384679606225</v>
      </c>
      <c r="CO35" s="30">
        <v>-1.5689250027424024</v>
      </c>
      <c r="CP35" s="30">
        <v>0.085089356658023751</v>
      </c>
      <c r="CQ35" s="31">
        <v>0.33333333333333331</v>
      </c>
      <c r="CR35" s="30">
        <v>2.29725</v>
      </c>
      <c r="CS35" s="30">
        <v>0.86599999999999999</v>
      </c>
      <c r="CT35" s="30">
        <v>1.4677500000000001</v>
      </c>
      <c r="CU35" s="30">
        <v>16.614912576972042</v>
      </c>
      <c r="CV35" s="30">
        <v>19.232744060010916</v>
      </c>
      <c r="CW35" s="30">
        <v>0.035249999999999997</v>
      </c>
      <c r="CX35" s="30">
        <v>4.0719537541439346</v>
      </c>
      <c r="CY35" s="30">
        <v>0.43499999999999994</v>
      </c>
      <c r="CZ35" s="30">
        <v>0.129</v>
      </c>
      <c r="DA35" s="30">
        <v>0.438</v>
      </c>
      <c r="DB35" s="30">
        <v>52.753751500600245</v>
      </c>
      <c r="DC35" s="30">
        <v>15.65816326530612</v>
      </c>
      <c r="DD35" s="30">
        <v>47.246248499399755</v>
      </c>
      <c r="DE35" s="30">
        <v>-1.5353457081069184</v>
      </c>
      <c r="DF35" s="30">
        <v>-1.6227725033601992</v>
      </c>
      <c r="DG35" s="30">
        <v>0.19518124282234195</v>
      </c>
      <c r="DH35" s="30">
        <v>0</v>
      </c>
      <c r="DI35" s="30">
        <v>1.5934999999999999</v>
      </c>
      <c r="DJ35" s="30">
        <v>1.5075000000000001</v>
      </c>
      <c r="DK35" s="30">
        <v>0.086000000000000007</v>
      </c>
      <c r="DL35" s="30">
        <v>8.5355484134253974</v>
      </c>
      <c r="DM35" s="30">
        <v>5.9123844603534845</v>
      </c>
      <c r="DN35" s="30">
        <v>0.056499999999999995</v>
      </c>
      <c r="DO35" s="30">
        <v>5.0815937655989663</v>
      </c>
      <c r="DP35" s="30">
        <v>0.70050000000000012</v>
      </c>
      <c r="DQ35" s="30">
        <v>0.46050000000000002</v>
      </c>
      <c r="DR35" s="30">
        <v>0.80700000000000005</v>
      </c>
      <c r="DS35" s="30">
        <v>45.767869132662945</v>
      </c>
      <c r="DT35" s="30">
        <v>28.212780944037764</v>
      </c>
      <c r="DU35" s="30">
        <v>54.232130867337062</v>
      </c>
      <c r="DV35" s="30">
        <v>-1.6571469294799823</v>
      </c>
      <c r="DW35" s="30">
        <v>-1.6840981893171745</v>
      </c>
      <c r="DX35" s="30">
        <v>0.10088453460244037</v>
      </c>
      <c r="DY35" s="30">
        <v>1.25</v>
      </c>
      <c r="DZ35" s="30">
        <v>3.7545000000000002</v>
      </c>
      <c r="EA35" s="30">
        <v>1.3694999999999999</v>
      </c>
      <c r="EB35" s="30">
        <v>2.3850000000000002</v>
      </c>
      <c r="EC35" s="30">
        <v>16.819413858608794</v>
      </c>
      <c r="ED35" s="30">
        <v>12.472018275845473</v>
      </c>
      <c r="EE35" s="30">
        <v>0.049500000000000002</v>
      </c>
      <c r="EF35" s="30">
        <v>0.52800000000000002</v>
      </c>
      <c r="EG35" s="30">
        <v>0.29849999999999999</v>
      </c>
      <c r="EH35" s="30">
        <v>0.84150000000000014</v>
      </c>
      <c r="EI35" s="30">
        <v>37.598506823998719</v>
      </c>
      <c r="EJ35" s="30">
        <v>20.537913278725739</v>
      </c>
      <c r="EK35" s="30">
        <v>62.401493176001281</v>
      </c>
      <c r="EL35" s="30">
        <v>-1.5086528764064799</v>
      </c>
      <c r="EM35" s="30">
        <v>-1.5915642566522235</v>
      </c>
      <c r="EN35" s="30">
        <v>0.14485632737567794</v>
      </c>
      <c r="EO35" s="30">
        <v>2.25</v>
      </c>
    </row>
    <row r="36" ht="14.25">
      <c r="A36" s="52" t="s">
        <v>138</v>
      </c>
      <c r="B36" s="52">
        <v>1</v>
      </c>
      <c r="C36" s="61">
        <v>8</v>
      </c>
      <c r="D36" s="30">
        <v>0.85999999999999999</v>
      </c>
      <c r="E36" s="30">
        <v>1.5309999999999999</v>
      </c>
      <c r="F36" s="30">
        <v>2.3910000000000005</v>
      </c>
      <c r="G36" s="30">
        <v>0</v>
      </c>
      <c r="H36" s="30">
        <v>10.322389509495444</v>
      </c>
      <c r="I36" s="30">
        <v>17.698674561603571</v>
      </c>
      <c r="J36" s="30">
        <v>0.33700000000000002</v>
      </c>
      <c r="K36" s="30">
        <v>37.313643384180786</v>
      </c>
      <c r="L36" s="30">
        <f>J36/F36</f>
        <v>0.14094521120869927</v>
      </c>
      <c r="M36" s="30">
        <v>-1.6427748040613166</v>
      </c>
      <c r="N36" s="31">
        <v>0.19962859831825827</v>
      </c>
      <c r="O36" s="30">
        <v>1.2514285714285716</v>
      </c>
      <c r="P36" s="30">
        <v>1.1322857142857143</v>
      </c>
      <c r="Q36" s="30">
        <v>2.4608571428571429</v>
      </c>
      <c r="R36" s="30">
        <v>0.077142857142857152</v>
      </c>
      <c r="S36" s="30">
        <v>10.136338770718604</v>
      </c>
      <c r="T36" s="30">
        <v>17.101860833012914</v>
      </c>
      <c r="U36" s="30">
        <v>0.40971428571428575</v>
      </c>
      <c r="V36" s="30">
        <v>36.572799790612422</v>
      </c>
      <c r="W36" s="30">
        <f>U36/Q36</f>
        <v>0.16649251132009754</v>
      </c>
      <c r="X36" s="30">
        <v>-1.9213798054312488</v>
      </c>
      <c r="Y36" s="31">
        <v>0.18579110471193147</v>
      </c>
      <c r="Z36" s="50">
        <f>F36-Q36</f>
        <v>-0.069857142857142396</v>
      </c>
      <c r="AA36" s="34">
        <v>4.0071428571428571</v>
      </c>
      <c r="AB36" s="30">
        <v>8.267142857142856</v>
      </c>
      <c r="AC36" s="30">
        <v>0.66514285714285715</v>
      </c>
      <c r="AD36" s="30">
        <v>2.3305714285714285</v>
      </c>
      <c r="AE36" s="30">
        <v>1.6765714285714284</v>
      </c>
      <c r="AF36" s="30">
        <v>12.055282668492392</v>
      </c>
      <c r="AG36" s="30">
        <f>AF36/AA36</f>
        <v>3.0084484377699376</v>
      </c>
      <c r="AH36" s="30">
        <v>-2.336546238041977</v>
      </c>
      <c r="AI36" s="72">
        <f>(AE36/AA36)*100</f>
        <v>41.839572192513366</v>
      </c>
      <c r="AJ36" s="30">
        <v>3.5880000000000005</v>
      </c>
      <c r="AK36" s="30">
        <v>6.3711428571428579</v>
      </c>
      <c r="AL36" s="30">
        <v>0.054000000000000013</v>
      </c>
      <c r="AM36" s="30">
        <v>2.0305714285714287</v>
      </c>
      <c r="AN36" s="30">
        <v>1.5574285714285716</v>
      </c>
      <c r="AO36" s="30">
        <v>11.713965448964087</v>
      </c>
      <c r="AP36" s="30">
        <f>AN36/AJ36</f>
        <v>0.43406593406593408</v>
      </c>
      <c r="AQ36" s="30">
        <v>-2.4446972700386036</v>
      </c>
      <c r="AR36" s="37">
        <f>(AN36/AJ36)*100</f>
        <v>43.406593406593409</v>
      </c>
      <c r="AS36" s="38">
        <f>AJ36-AA36</f>
        <v>-0.4191428571428566</v>
      </c>
      <c r="AT36" s="38">
        <f>AN36-AE36</f>
        <v>-0.11914285714285677</v>
      </c>
      <c r="AU36" s="30">
        <v>1.8845289667410345</v>
      </c>
      <c r="AV36" s="30">
        <v>0.50458492158341106</v>
      </c>
      <c r="AW36" s="30">
        <v>0.71608220382196386</v>
      </c>
      <c r="AX36" s="31">
        <v>0.71628206946665851</v>
      </c>
      <c r="AY36" s="30">
        <v>6.025500000000001</v>
      </c>
      <c r="AZ36" s="30">
        <v>3.0375000000000001</v>
      </c>
      <c r="BA36" s="30">
        <v>10.475511538711766</v>
      </c>
      <c r="BB36" s="30">
        <v>1.7481691651012201</v>
      </c>
      <c r="BC36" s="39">
        <v>-3.1840084819502028</v>
      </c>
      <c r="BD36" s="30">
        <v>6.516</v>
      </c>
      <c r="BE36" s="30">
        <v>2.214</v>
      </c>
      <c r="BF36" s="30">
        <v>20.364946745718811</v>
      </c>
      <c r="BG36" s="30">
        <v>3.1253754981152255</v>
      </c>
      <c r="BH36" s="39">
        <v>-2.9412315322096938</v>
      </c>
      <c r="BI36" s="30">
        <v>10.983000000000001</v>
      </c>
      <c r="BJ36" s="30">
        <v>4.9380000000000006</v>
      </c>
      <c r="BK36" s="30">
        <v>29.491671085228369</v>
      </c>
      <c r="BL36" s="30">
        <v>2.7117433499918882</v>
      </c>
      <c r="BM36" s="39">
        <v>-3.2502947540761098</v>
      </c>
      <c r="BN36" s="30">
        <v>14.562000000000001</v>
      </c>
      <c r="BO36" s="30">
        <v>7.0410000000000004</v>
      </c>
      <c r="BP36" s="30">
        <v>39.140270298389709</v>
      </c>
      <c r="BQ36" s="30">
        <v>2.7956532245127423</v>
      </c>
      <c r="BR36" s="39">
        <v>-2.9867883876928207</v>
      </c>
      <c r="BS36" s="30">
        <v>12.555000000000001</v>
      </c>
      <c r="BT36" s="30">
        <v>6.0134999999999996</v>
      </c>
      <c r="BU36" s="30">
        <v>49.653086453353147</v>
      </c>
      <c r="BV36" s="30">
        <v>3.9958690647947051</v>
      </c>
      <c r="BW36" s="39">
        <v>-3.0784076883529292</v>
      </c>
      <c r="BX36" s="49">
        <v>-0.14612121054076252</v>
      </c>
      <c r="BY36" s="49">
        <v>2.7251523634526253</v>
      </c>
      <c r="BZ36" s="49">
        <v>0.025280087167529053</v>
      </c>
      <c r="CA36" s="30">
        <v>2.3462500000000004</v>
      </c>
      <c r="CB36" s="30">
        <v>2.1945000000000001</v>
      </c>
      <c r="CC36" s="30">
        <v>0.15175</v>
      </c>
      <c r="CD36" s="30">
        <v>8.2202631259593524</v>
      </c>
      <c r="CE36" s="30">
        <v>7.4725943994581145</v>
      </c>
      <c r="CF36" s="30">
        <v>0.028250000000000004</v>
      </c>
      <c r="CG36" s="30">
        <v>3.004454942061713</v>
      </c>
      <c r="CH36" s="30">
        <v>0.40650000000000003</v>
      </c>
      <c r="CI36" s="30">
        <v>0.19800000000000001</v>
      </c>
      <c r="CJ36" s="30">
        <v>1.7880000000000003</v>
      </c>
      <c r="CK36" s="30">
        <v>35.369869761211675</v>
      </c>
      <c r="CL36" s="30">
        <v>17.53487418077269</v>
      </c>
      <c r="CM36" s="30">
        <v>64.630130238788325</v>
      </c>
      <c r="CN36" s="30">
        <v>-2.5374662467575995</v>
      </c>
      <c r="CO36" s="30">
        <v>-1.8069375185104994</v>
      </c>
      <c r="CP36" s="30">
        <v>0.17458713890306118</v>
      </c>
      <c r="CQ36" s="31">
        <v>0.33333333333333331</v>
      </c>
      <c r="CR36" s="30">
        <v>1.9509999999999998</v>
      </c>
      <c r="CS36" s="30">
        <v>1.6659999999999997</v>
      </c>
      <c r="CT36" s="30">
        <v>0.28499999999999998</v>
      </c>
      <c r="CU36" s="30">
        <v>16.963053001955476</v>
      </c>
      <c r="CV36" s="30">
        <v>12.808447638625411</v>
      </c>
      <c r="CW36" s="30">
        <v>0.063</v>
      </c>
      <c r="CX36" s="30">
        <v>4.0482123370895566</v>
      </c>
      <c r="CY36" s="30">
        <v>1.258</v>
      </c>
      <c r="CZ36" s="30">
        <v>0.51600000000000001</v>
      </c>
      <c r="DA36" s="30">
        <v>0.40799999999999992</v>
      </c>
      <c r="DB36" s="30">
        <v>74.951204537829128</v>
      </c>
      <c r="DC36" s="30">
        <v>31.257061464245613</v>
      </c>
      <c r="DD36" s="30">
        <v>25.048795462170862</v>
      </c>
      <c r="DE36" s="30">
        <v>-1.8189324481025615</v>
      </c>
      <c r="DF36" s="30">
        <v>-1.908004358997653</v>
      </c>
      <c r="DG36" s="30">
        <v>0.1734331251369978</v>
      </c>
      <c r="DH36" s="30">
        <v>1</v>
      </c>
      <c r="DI36" s="30">
        <v>2.0750000000000002</v>
      </c>
      <c r="DJ36" s="30">
        <v>1.9935000000000003</v>
      </c>
      <c r="DK36" s="30">
        <v>0.081500000000000017</v>
      </c>
      <c r="DL36" s="30">
        <v>8.5505421209127412</v>
      </c>
      <c r="DM36" s="30">
        <v>4.3764544291552179</v>
      </c>
      <c r="DN36" s="30">
        <v>0.038500000000000006</v>
      </c>
      <c r="DO36" s="30">
        <v>5.0784228441228025</v>
      </c>
      <c r="DP36" s="30">
        <v>0.58800000000000008</v>
      </c>
      <c r="DQ36" s="30">
        <v>0.24450000000000002</v>
      </c>
      <c r="DR36" s="30">
        <v>1.4055</v>
      </c>
      <c r="DS36" s="30">
        <v>32.597902491990297</v>
      </c>
      <c r="DT36" s="30">
        <v>13.171839709531444</v>
      </c>
      <c r="DU36" s="30">
        <v>67.402097508009703</v>
      </c>
      <c r="DV36" s="30">
        <v>-1.8922455029222618</v>
      </c>
      <c r="DW36" s="30">
        <v>-1.6824611958613649</v>
      </c>
      <c r="DX36" s="30">
        <v>0.096202723136504423</v>
      </c>
      <c r="DY36" s="30">
        <v>4.333333333333333</v>
      </c>
      <c r="DZ36" s="30">
        <v>1.8265000000000002</v>
      </c>
      <c r="EA36" s="30">
        <v>1.3719999999999999</v>
      </c>
      <c r="EB36" s="30">
        <v>0.45449999999999996</v>
      </c>
      <c r="EC36" s="30">
        <v>17.240439356776264</v>
      </c>
      <c r="ED36" s="30">
        <v>12.667645023632019</v>
      </c>
      <c r="EE36" s="30">
        <v>0.053749999999999999</v>
      </c>
      <c r="EF36" s="30">
        <v>0.29400000000000004</v>
      </c>
      <c r="EG36" s="30">
        <v>0.096000000000000016</v>
      </c>
      <c r="EH36" s="30">
        <v>1.0779999999999998</v>
      </c>
      <c r="EI36" s="30">
        <v>20.933012048192772</v>
      </c>
      <c r="EJ36" s="30">
        <v>6.8960642570281125</v>
      </c>
      <c r="EK36" s="30">
        <v>79.066987951807221</v>
      </c>
      <c r="EL36" s="30">
        <v>-1.6210291013973432</v>
      </c>
      <c r="EM36" s="30">
        <v>-1.527604589496864</v>
      </c>
      <c r="EN36" s="30">
        <v>0.18878243020121918</v>
      </c>
      <c r="EO36" s="30">
        <v>3.5</v>
      </c>
    </row>
    <row r="37" ht="14.25">
      <c r="A37" s="42" t="s">
        <v>139</v>
      </c>
      <c r="B37" s="43">
        <v>1</v>
      </c>
      <c r="C37" s="42">
        <v>8</v>
      </c>
      <c r="D37" s="30">
        <v>0.93975000000000009</v>
      </c>
      <c r="E37" s="30">
        <v>1.29375</v>
      </c>
      <c r="F37" s="30">
        <v>2.2702500000000003</v>
      </c>
      <c r="G37" s="30">
        <v>0.036749999999999998</v>
      </c>
      <c r="H37" s="30">
        <v>10.430286538914602</v>
      </c>
      <c r="I37" s="30">
        <v>18.186763627771715</v>
      </c>
      <c r="J37" s="30">
        <v>0.64500000000000002</v>
      </c>
      <c r="K37" s="30">
        <v>67.187991761555267</v>
      </c>
      <c r="L37" s="30">
        <f>J37/F37</f>
        <v>0.28410967955071026</v>
      </c>
      <c r="M37" s="30">
        <v>-1.6483220511819543</v>
      </c>
      <c r="N37" s="31">
        <v>0.11434804297401241</v>
      </c>
      <c r="O37" s="30">
        <v>0.96685714285714297</v>
      </c>
      <c r="P37" s="30">
        <v>0.95657142857142863</v>
      </c>
      <c r="Q37" s="30">
        <v>1.9894285714285711</v>
      </c>
      <c r="R37" s="30">
        <v>0.066000000000000017</v>
      </c>
      <c r="S37" s="30">
        <v>10.70582708351759</v>
      </c>
      <c r="T37" s="30">
        <v>17.857976566748906</v>
      </c>
      <c r="U37" s="30">
        <v>0.52275000000000005</v>
      </c>
      <c r="V37" s="30">
        <v>55.386407483186936</v>
      </c>
      <c r="W37" s="30">
        <f>U37/Q37</f>
        <v>0.26276389487289969</v>
      </c>
      <c r="X37" s="30">
        <v>-1.6265762600098637</v>
      </c>
      <c r="Y37" s="31">
        <v>0.10397104824246595</v>
      </c>
      <c r="Z37" s="32">
        <f>F37-Q37</f>
        <v>0.28082142857142922</v>
      </c>
      <c r="AA37" s="30">
        <v>2.1798000000000002</v>
      </c>
      <c r="AB37" s="30">
        <v>4.7801999999999998</v>
      </c>
      <c r="AC37" s="30">
        <v>0.0060000000000000001</v>
      </c>
      <c r="AD37" s="30">
        <v>1.2276000000000002</v>
      </c>
      <c r="AE37" s="30">
        <v>0.95220000000000005</v>
      </c>
      <c r="AF37" s="30">
        <v>11.69987029569516</v>
      </c>
      <c r="AG37" s="30">
        <f>AF37/AA37</f>
        <v>5.3674054021906406</v>
      </c>
      <c r="AH37" s="30">
        <v>-2.3029856950861602</v>
      </c>
      <c r="AI37" s="72">
        <f>(AE37/AA37)*100</f>
        <v>43.682906688687034</v>
      </c>
      <c r="AJ37" s="30">
        <v>2.3148000000000004</v>
      </c>
      <c r="AK37" s="30">
        <v>4.3182</v>
      </c>
      <c r="AL37" s="30">
        <v>0.018000000000000002</v>
      </c>
      <c r="AM37" s="30">
        <v>1.3350000000000004</v>
      </c>
      <c r="AN37" s="30">
        <v>0.9798</v>
      </c>
      <c r="AO37" s="30">
        <v>11.709252304419483</v>
      </c>
      <c r="AP37" s="30">
        <f>AN37/AJ37</f>
        <v>0.42327630896837731</v>
      </c>
      <c r="AQ37" s="30">
        <v>-2.3472214804454037</v>
      </c>
      <c r="AR37" s="45">
        <f>(AN37/AJ37)*100</f>
        <v>42.327630896837732</v>
      </c>
      <c r="AS37" s="46">
        <f>AJ37-AA37</f>
        <v>0.13500000000000023</v>
      </c>
      <c r="AT37" s="46">
        <f>AN37-AE37</f>
        <v>0.027599999999999958</v>
      </c>
      <c r="AU37" s="30">
        <v>2.2829706493502244</v>
      </c>
      <c r="AV37" s="30">
        <v>0.28897434155052709</v>
      </c>
      <c r="AW37" s="30">
        <v>0.19702685681746812</v>
      </c>
      <c r="AX37" s="31">
        <v>0.19780353195404002</v>
      </c>
      <c r="AY37" s="30">
        <v>5.3583999999999996</v>
      </c>
      <c r="AZ37" s="30">
        <v>2.2816000000000001</v>
      </c>
      <c r="BA37" s="30">
        <v>9.9441801852777676</v>
      </c>
      <c r="BB37" s="30">
        <v>2.0227860270753419</v>
      </c>
      <c r="BC37" s="39">
        <v>-2.8054934302215182</v>
      </c>
      <c r="BD37" s="30">
        <v>4.9536000000000007</v>
      </c>
      <c r="BE37" s="30">
        <v>2.2907999999999999</v>
      </c>
      <c r="BF37" s="30">
        <v>19.581636949979288</v>
      </c>
      <c r="BG37" s="30">
        <v>4.0392452837926571</v>
      </c>
      <c r="BH37" s="39">
        <v>-2.6370201697679683</v>
      </c>
      <c r="BI37" s="30">
        <v>3.8628</v>
      </c>
      <c r="BJ37" s="30">
        <v>1.7448000000000001</v>
      </c>
      <c r="BK37" s="30">
        <v>28.570339813605035</v>
      </c>
      <c r="BL37" s="30">
        <v>7.4952714502670101</v>
      </c>
      <c r="BM37" s="39">
        <v>-2.3007837237823971</v>
      </c>
      <c r="BN37" s="30">
        <v>8.1480000000000015</v>
      </c>
      <c r="BO37" s="30">
        <v>3.6000000000000001</v>
      </c>
      <c r="BP37" s="30">
        <v>38.272487598318037</v>
      </c>
      <c r="BQ37" s="30">
        <v>4.7117953390743343</v>
      </c>
      <c r="BR37" s="39">
        <v>-2.5991613963833764</v>
      </c>
      <c r="BS37" s="30">
        <v>7.0548000000000002</v>
      </c>
      <c r="BT37" s="30">
        <v>3.6132000000000004</v>
      </c>
      <c r="BU37" s="30">
        <v>47.225191006800529</v>
      </c>
      <c r="BV37" s="30">
        <v>7.0560304912366245</v>
      </c>
      <c r="BW37" s="39">
        <v>-2.5301881345112074</v>
      </c>
      <c r="BX37" s="30">
        <v>0.25617367224213494</v>
      </c>
      <c r="BY37" s="30">
        <v>0.37346095611607572</v>
      </c>
      <c r="BZ37" s="30">
        <v>0.41795209009061585</v>
      </c>
      <c r="CA37" s="30">
        <v>1.0690000000000002</v>
      </c>
      <c r="CB37" s="30">
        <v>0.80400000000000005</v>
      </c>
      <c r="CC37" s="30">
        <v>0.26500000000000001</v>
      </c>
      <c r="CD37" s="30">
        <v>9.0384605881398059</v>
      </c>
      <c r="CE37" s="30">
        <v>11.376975039447588</v>
      </c>
      <c r="CF37" s="30">
        <v>0.037999999999999999</v>
      </c>
      <c r="CG37" s="30">
        <v>3.1707514892235622</v>
      </c>
      <c r="CH37" s="30">
        <v>0.45450000000000002</v>
      </c>
      <c r="CI37" s="30">
        <v>0.17549999999999999</v>
      </c>
      <c r="CJ37" s="30">
        <v>0.34950000000000003</v>
      </c>
      <c r="CK37" s="30">
        <v>56.970797797689741</v>
      </c>
      <c r="CL37" s="30">
        <v>22.109616056289731</v>
      </c>
      <c r="CM37" s="30">
        <v>43.029202202310266</v>
      </c>
      <c r="CN37" s="30">
        <v>-1.6689661108190605</v>
      </c>
      <c r="CO37" s="30">
        <v>-1.6450798297643616</v>
      </c>
      <c r="CP37" s="30">
        <v>0.076818719330938492</v>
      </c>
      <c r="CQ37" s="31">
        <v>0.5</v>
      </c>
      <c r="CR37" s="30">
        <v>1.6620000000000001</v>
      </c>
      <c r="CS37" s="30">
        <v>1.3515000000000001</v>
      </c>
      <c r="CT37" s="30">
        <v>0.31050000000000005</v>
      </c>
      <c r="CU37" s="30">
        <v>16.693456717780737</v>
      </c>
      <c r="CV37" s="30">
        <v>14.080858495759907</v>
      </c>
      <c r="CW37" s="30">
        <v>0.018000000000000002</v>
      </c>
      <c r="CX37" s="30">
        <v>4.0558741818144775</v>
      </c>
      <c r="CY37" s="30">
        <v>0.62550000000000006</v>
      </c>
      <c r="CZ37" s="30">
        <v>0.25950000000000001</v>
      </c>
      <c r="DA37" s="30">
        <v>0.72600000000000009</v>
      </c>
      <c r="DB37" s="30">
        <v>47.68772005304136</v>
      </c>
      <c r="DC37" s="30">
        <v>20.770158937011313</v>
      </c>
      <c r="DD37" s="30">
        <v>52.31227994695864</v>
      </c>
      <c r="DE37" s="30">
        <v>-1.6840260999555325</v>
      </c>
      <c r="DF37" s="30">
        <v>-1.6683726492074897</v>
      </c>
      <c r="DG37" s="30">
        <v>0.11497702408300647</v>
      </c>
      <c r="DH37" s="30">
        <v>1.75</v>
      </c>
      <c r="DI37" s="30">
        <v>1.5295000000000001</v>
      </c>
      <c r="DJ37" s="30">
        <v>1.3440000000000001</v>
      </c>
      <c r="DK37" s="30">
        <v>0.35500000000000004</v>
      </c>
      <c r="DL37" s="30">
        <v>8.9604570652236788</v>
      </c>
      <c r="DM37" s="30">
        <v>6.6670067449580941</v>
      </c>
      <c r="DN37" s="30">
        <v>0.057499999999999996</v>
      </c>
      <c r="DO37" s="30">
        <v>5.1516773395994768</v>
      </c>
      <c r="DP37" s="30">
        <v>0.28800000000000003</v>
      </c>
      <c r="DQ37" s="30">
        <v>0.042000000000000003</v>
      </c>
      <c r="DR37" s="30">
        <v>1.0800000000000001</v>
      </c>
      <c r="DS37" s="30">
        <v>24.946977263278988</v>
      </c>
      <c r="DT37" s="30">
        <v>3.9933340911164934</v>
      </c>
      <c r="DU37" s="30">
        <v>75.053022736721005</v>
      </c>
      <c r="DV37" s="30">
        <v>-1.5428498107291599</v>
      </c>
      <c r="DW37" s="30">
        <v>-1.490231971708921</v>
      </c>
      <c r="DX37" s="30">
        <v>0.11411305681217616</v>
      </c>
      <c r="DY37" s="30">
        <v>1.75</v>
      </c>
      <c r="DZ37" s="30">
        <v>1.9597500000000001</v>
      </c>
      <c r="EA37" s="30">
        <v>1.5</v>
      </c>
      <c r="EB37" s="30">
        <v>0.4597500000000001</v>
      </c>
      <c r="EC37" s="30">
        <v>16.89956126529766</v>
      </c>
      <c r="ED37" s="30">
        <v>11.722793590058229</v>
      </c>
      <c r="EE37" s="30">
        <v>0.04725</v>
      </c>
      <c r="EF37" s="30">
        <v>0.54149999999999998</v>
      </c>
      <c r="EG37" s="30">
        <v>0.36000000000000004</v>
      </c>
      <c r="EH37" s="30">
        <v>0.95850000000000013</v>
      </c>
      <c r="EI37" s="30">
        <v>36.300021130626767</v>
      </c>
      <c r="EJ37" s="30">
        <v>22.880294711488204</v>
      </c>
      <c r="EK37" s="30">
        <v>63.699978869373226</v>
      </c>
      <c r="EL37" s="30">
        <v>-1.5856287245539695</v>
      </c>
      <c r="EM37" s="30">
        <v>-1.6898481827577931</v>
      </c>
      <c r="EN37" s="30">
        <v>0.12862603912351112</v>
      </c>
      <c r="EO37" s="30">
        <v>2</v>
      </c>
    </row>
    <row r="38" ht="14.25">
      <c r="A38" s="42" t="s">
        <v>138</v>
      </c>
      <c r="B38" s="52">
        <v>1</v>
      </c>
      <c r="C38" s="55">
        <v>8.0099999999999998</v>
      </c>
      <c r="D38" s="30">
        <v>0.65333333333333343</v>
      </c>
      <c r="E38" s="30">
        <v>1.1033333333333333</v>
      </c>
      <c r="F38" s="30">
        <v>1.784</v>
      </c>
      <c r="G38" s="30">
        <v>0.027333333333333334</v>
      </c>
      <c r="H38" s="30">
        <v>10.468817299835841</v>
      </c>
      <c r="I38" s="30">
        <v>18.031411932588725</v>
      </c>
      <c r="J38" s="30">
        <v>0.31666666666666665</v>
      </c>
      <c r="K38" s="30">
        <v>47.809849059638736</v>
      </c>
      <c r="L38" s="30">
        <f>J38/F38</f>
        <v>0.17750373692077726</v>
      </c>
      <c r="M38" s="30">
        <v>-1.4760719713431396</v>
      </c>
      <c r="N38" s="31">
        <v>0.083890738952014696</v>
      </c>
      <c r="O38" s="30">
        <v>0.75540000000000007</v>
      </c>
      <c r="P38" s="30">
        <v>1.1640000000000001</v>
      </c>
      <c r="Q38" s="30">
        <v>1.9272000000000002</v>
      </c>
      <c r="R38" s="30">
        <v>0.0077999999999999996</v>
      </c>
      <c r="S38" s="30">
        <v>10.641539198285804</v>
      </c>
      <c r="T38" s="30">
        <v>18.179319269399649</v>
      </c>
      <c r="U38" s="30">
        <v>0.3528</v>
      </c>
      <c r="V38" s="30">
        <v>47.553750402359661</v>
      </c>
      <c r="W38" s="30">
        <f>U38/Q38</f>
        <v>0.1830635118306351</v>
      </c>
      <c r="X38" s="30">
        <v>-1.4876043333787563</v>
      </c>
      <c r="Y38" s="31">
        <v>0.13370302893979361</v>
      </c>
      <c r="Z38" s="50">
        <f>F38-Q38</f>
        <v>-0.14320000000000022</v>
      </c>
      <c r="AA38" s="30">
        <v>1.4366666666666668</v>
      </c>
      <c r="AB38" s="30">
        <v>3.0853333333333333</v>
      </c>
      <c r="AC38" s="30">
        <v>0.012000000000000002</v>
      </c>
      <c r="AD38" s="30">
        <v>0.71600000000000008</v>
      </c>
      <c r="AE38" s="30">
        <v>0.72066666666666679</v>
      </c>
      <c r="AF38" s="30">
        <v>12.143380065546662</v>
      </c>
      <c r="AG38" s="30">
        <f>AF38/AA38</f>
        <v>8.4524687231183258</v>
      </c>
      <c r="AH38" s="30">
        <v>-2.1959406982393692</v>
      </c>
      <c r="AI38" s="72">
        <f>(AE38/AA38)*100</f>
        <v>50.162412993039453</v>
      </c>
      <c r="AJ38" s="30">
        <v>1.6158000000000001</v>
      </c>
      <c r="AK38" s="30">
        <v>3.1614</v>
      </c>
      <c r="AL38" s="30">
        <v>0.091800000000000007</v>
      </c>
      <c r="AM38" s="30">
        <v>0.7854000000000001</v>
      </c>
      <c r="AN38" s="30">
        <v>0.83040000000000003</v>
      </c>
      <c r="AO38" s="30">
        <v>11.519532126182755</v>
      </c>
      <c r="AP38" s="30">
        <f>AN38/AJ38</f>
        <v>0.51392499071667286</v>
      </c>
      <c r="AQ38" s="30">
        <v>-2.3778314464964487</v>
      </c>
      <c r="AR38" s="45">
        <f>(AN38/AJ38)*100</f>
        <v>51.392499071667288</v>
      </c>
      <c r="AS38" s="46">
        <f>AJ38-AA38</f>
        <v>0.17913333333333337</v>
      </c>
      <c r="AT38" s="46">
        <f>AN38-AE38</f>
        <v>0.10973333333333324</v>
      </c>
      <c r="AU38" s="30">
        <v>0.17418014458893097</v>
      </c>
      <c r="AV38" s="30">
        <v>0.78478158403831522</v>
      </c>
      <c r="AW38" s="30">
        <v>0.72860167586212765</v>
      </c>
      <c r="AX38" s="31">
        <v>0.73107747660838118</v>
      </c>
      <c r="AY38" s="30">
        <v>1.3620000000000001</v>
      </c>
      <c r="AZ38" s="30">
        <v>0.70550000000000002</v>
      </c>
      <c r="BA38" s="30">
        <v>10.067312418134396</v>
      </c>
      <c r="BB38" s="30">
        <v>7.4968800928989809</v>
      </c>
      <c r="BC38" s="39">
        <v>-2.1114476094957402</v>
      </c>
      <c r="BD38" s="30">
        <v>1.8105</v>
      </c>
      <c r="BE38" s="30">
        <v>0.86850000000000005</v>
      </c>
      <c r="BF38" s="30">
        <v>19.376044888537578</v>
      </c>
      <c r="BG38" s="30">
        <v>10.709235682481671</v>
      </c>
      <c r="BH38" s="39">
        <v>-2.4735793206319694</v>
      </c>
      <c r="BI38" s="30">
        <v>2.226</v>
      </c>
      <c r="BJ38" s="30">
        <v>1.0451999999999999</v>
      </c>
      <c r="BK38" s="30">
        <v>27.586735284297696</v>
      </c>
      <c r="BL38" s="30">
        <v>13.185685458949283</v>
      </c>
      <c r="BM38" s="39">
        <v>-2.4904310886926959</v>
      </c>
      <c r="BN38" s="30">
        <v>2.5823999999999998</v>
      </c>
      <c r="BO38" s="30">
        <v>1.0608</v>
      </c>
      <c r="BP38" s="30">
        <v>37.230300943108439</v>
      </c>
      <c r="BQ38" s="30">
        <v>14.790113860917637</v>
      </c>
      <c r="BR38" s="39">
        <v>-2.565407830048966</v>
      </c>
      <c r="BS38" s="30">
        <v>4.008</v>
      </c>
      <c r="BT38" s="30">
        <v>1.9050000000000002</v>
      </c>
      <c r="BU38" s="30">
        <v>47.29044923317727</v>
      </c>
      <c r="BV38" s="30">
        <v>11.958388490582799</v>
      </c>
      <c r="BW38" s="39">
        <v>-2.2761446277375752</v>
      </c>
      <c r="BX38" s="49">
        <v>0.13424415720810218</v>
      </c>
      <c r="BY38" s="49">
        <v>0.73397371507141562</v>
      </c>
      <c r="BZ38" s="49">
        <v>0.25825319066273522</v>
      </c>
      <c r="CA38" s="30">
        <v>1.21675</v>
      </c>
      <c r="CB38" s="30">
        <v>0.84000000000000008</v>
      </c>
      <c r="CC38" s="30">
        <v>0.37674999999999997</v>
      </c>
      <c r="CD38" s="30">
        <v>9.2691733322435539</v>
      </c>
      <c r="CE38" s="30">
        <v>11.233684829686453</v>
      </c>
      <c r="CF38" s="30">
        <v>0.043249999999999997</v>
      </c>
      <c r="CG38" s="30">
        <v>3.0815477049047546</v>
      </c>
      <c r="CH38" s="30">
        <v>0.37350000000000005</v>
      </c>
      <c r="CI38" s="30">
        <v>0.21150000000000002</v>
      </c>
      <c r="CJ38" s="30">
        <v>0.46650000000000003</v>
      </c>
      <c r="CK38" s="30">
        <v>44.351076210070545</v>
      </c>
      <c r="CL38" s="30">
        <v>23.546010781233008</v>
      </c>
      <c r="CM38" s="30">
        <v>55.648923789929448</v>
      </c>
      <c r="CN38" s="30">
        <v>-1.5156007329613472</v>
      </c>
      <c r="CO38" s="30">
        <v>-1.6102238943333345</v>
      </c>
      <c r="CP38" s="30">
        <v>0.20697327237712473</v>
      </c>
      <c r="CQ38" s="31">
        <v>1.6666666666666667</v>
      </c>
      <c r="CR38" s="30">
        <v>1.2177500000000001</v>
      </c>
      <c r="CS38" s="30">
        <v>0.94800000000000006</v>
      </c>
      <c r="CT38" s="30">
        <v>0.26975000000000005</v>
      </c>
      <c r="CU38" s="30">
        <v>17.34826428343802</v>
      </c>
      <c r="CV38" s="30">
        <v>18.951648601116879</v>
      </c>
      <c r="CW38" s="30">
        <v>0.064750000000000002</v>
      </c>
      <c r="CX38" s="30">
        <v>4.096005944726393</v>
      </c>
      <c r="CY38" s="30">
        <v>0.40200000000000002</v>
      </c>
      <c r="CZ38" s="30">
        <v>0.1305</v>
      </c>
      <c r="DA38" s="30">
        <v>0.54600000000000004</v>
      </c>
      <c r="DB38" s="30">
        <v>43.724809271027759</v>
      </c>
      <c r="DC38" s="30">
        <v>13.858419824806381</v>
      </c>
      <c r="DD38" s="30">
        <v>56.275190728972248</v>
      </c>
      <c r="DE38" s="30">
        <v>-1.4838986732675248</v>
      </c>
      <c r="DF38" s="30">
        <v>-1.6022877260862614</v>
      </c>
      <c r="DG38" s="30">
        <v>0.095833269770532969</v>
      </c>
      <c r="DH38" s="30">
        <v>1</v>
      </c>
      <c r="DI38" s="30">
        <v>1.3287500000000001</v>
      </c>
      <c r="DJ38" s="30">
        <v>1.0169999999999999</v>
      </c>
      <c r="DK38" s="30">
        <v>0.31175000000000003</v>
      </c>
      <c r="DL38" s="30">
        <v>8.9308438765653868</v>
      </c>
      <c r="DM38" s="30">
        <v>9.1203454431322903</v>
      </c>
      <c r="DN38" s="30">
        <v>0.055750000000000008</v>
      </c>
      <c r="DO38" s="30">
        <v>5.1206919763789536</v>
      </c>
      <c r="DP38" s="30">
        <v>0.40500000000000008</v>
      </c>
      <c r="DQ38" s="30">
        <v>0.24000000000000005</v>
      </c>
      <c r="DR38" s="30">
        <v>0.61199999999999999</v>
      </c>
      <c r="DS38" s="30">
        <v>41.482294554650622</v>
      </c>
      <c r="DT38" s="30">
        <v>23.115443991764725</v>
      </c>
      <c r="DU38" s="30">
        <v>58.517705445349385</v>
      </c>
      <c r="DV38" s="30">
        <v>-1.6070340121157038</v>
      </c>
      <c r="DW38" s="30">
        <v>-1.8403840084768941</v>
      </c>
      <c r="DX38" s="30">
        <v>0.11875678766160801</v>
      </c>
      <c r="DY38" s="30">
        <v>1.6666666666666667</v>
      </c>
      <c r="DZ38" s="30">
        <v>1.656666666666667</v>
      </c>
      <c r="EA38" s="30">
        <v>1.2940000000000003</v>
      </c>
      <c r="EB38" s="30">
        <v>0.36266666666666669</v>
      </c>
      <c r="EC38" s="30">
        <v>16.721073165989274</v>
      </c>
      <c r="ED38" s="30">
        <v>13.722409728415622</v>
      </c>
      <c r="EE38" s="30">
        <v>0.057250000000000002</v>
      </c>
      <c r="EF38" s="30">
        <v>0.44800000000000001</v>
      </c>
      <c r="EG38" s="30">
        <v>0.156</v>
      </c>
      <c r="EH38" s="30">
        <v>0.84600000000000009</v>
      </c>
      <c r="EI38" s="30">
        <v>34.552430496867487</v>
      </c>
      <c r="EJ38" s="30">
        <v>11.216754773502842</v>
      </c>
      <c r="EK38" s="30">
        <v>65.447569503132527</v>
      </c>
      <c r="EL38" s="30">
        <v>-1.5079012043353675</v>
      </c>
      <c r="EM38" s="30">
        <v>-1.6402382863152161</v>
      </c>
      <c r="EN38" s="30">
        <v>0.12714120135246024</v>
      </c>
      <c r="EO38" s="30">
        <v>2</v>
      </c>
    </row>
    <row r="39" ht="14.25">
      <c r="A39" s="42" t="s">
        <v>138</v>
      </c>
      <c r="B39" s="52">
        <v>2</v>
      </c>
      <c r="C39" s="55">
        <v>8.0099999999999998</v>
      </c>
      <c r="D39" s="30">
        <v>0.73799999999999999</v>
      </c>
      <c r="E39" s="30">
        <v>1.0686666666666667</v>
      </c>
      <c r="F39" s="30">
        <v>2.1573333333333333</v>
      </c>
      <c r="G39" s="30">
        <v>0.35066666666666668</v>
      </c>
      <c r="H39" s="30">
        <v>10.426987955946368</v>
      </c>
      <c r="I39" s="30">
        <v>17.703449291588932</v>
      </c>
      <c r="J39" s="30">
        <v>0.32066666666666671</v>
      </c>
      <c r="K39" s="30">
        <v>43.227148899331418</v>
      </c>
      <c r="L39" s="30">
        <f>J39/F39</f>
        <v>0.14864029666254638</v>
      </c>
      <c r="M39" s="30">
        <v>-1.4992157711834322</v>
      </c>
      <c r="N39" s="31">
        <v>0.10858111330823678</v>
      </c>
      <c r="O39" s="30">
        <v>0.67500000000000004</v>
      </c>
      <c r="P39" s="30">
        <v>1.0104000000000002</v>
      </c>
      <c r="Q39" s="30">
        <v>1.7070000000000001</v>
      </c>
      <c r="R39" s="30">
        <v>0.021600000000000001</v>
      </c>
      <c r="S39" s="30">
        <v>10.586881632087545</v>
      </c>
      <c r="T39" s="30">
        <v>17.275687960469355</v>
      </c>
      <c r="U39" s="30">
        <v>0.3054</v>
      </c>
      <c r="V39" s="30">
        <v>44.643055252644544</v>
      </c>
      <c r="W39" s="30">
        <f>U39/Q39</f>
        <v>0.1789103690685413</v>
      </c>
      <c r="X39" s="30">
        <v>-1.520718729330595</v>
      </c>
      <c r="Y39" s="31">
        <v>0.18350808638027602</v>
      </c>
      <c r="Z39" s="32">
        <f>F39-Q39</f>
        <v>0.45033333333333325</v>
      </c>
      <c r="AA39" s="30">
        <v>4.0038</v>
      </c>
      <c r="AB39" s="30">
        <v>7.7538000000000009</v>
      </c>
      <c r="AC39" s="30">
        <v>0.055800000000000016</v>
      </c>
      <c r="AD39" s="30">
        <v>2.2140000000000004</v>
      </c>
      <c r="AE39" s="30">
        <v>1.7898000000000001</v>
      </c>
      <c r="AF39" s="30">
        <v>11.922979593482246</v>
      </c>
      <c r="AG39" s="30">
        <f>AF39/AA39</f>
        <v>2.9779158782861899</v>
      </c>
      <c r="AH39" s="30">
        <v>-2.429546017419014</v>
      </c>
      <c r="AI39" s="72">
        <f>(AE39/AA39)*100</f>
        <v>44.702532594035667</v>
      </c>
      <c r="AJ39" s="30">
        <v>3.8142000000000009</v>
      </c>
      <c r="AK39" s="30">
        <v>6.4008000000000012</v>
      </c>
      <c r="AL39" s="30">
        <v>0.0258</v>
      </c>
      <c r="AM39" s="30">
        <v>2.1426000000000003</v>
      </c>
      <c r="AN39" s="30">
        <v>1.6716000000000002</v>
      </c>
      <c r="AO39" s="30">
        <v>11.834687725493342</v>
      </c>
      <c r="AP39" s="30">
        <f>AN39/AJ39</f>
        <v>0.43825703948403327</v>
      </c>
      <c r="AQ39" s="30">
        <v>-2.5264533022296178</v>
      </c>
      <c r="AR39" s="45">
        <f>(AN39/AJ39)*100</f>
        <v>43.82570394840333</v>
      </c>
      <c r="AS39" s="46">
        <f>AJ39-AA39</f>
        <v>-0.1895999999999991</v>
      </c>
      <c r="AT39" s="46">
        <f>AN39-AE39</f>
        <v>-0.11819999999999986</v>
      </c>
      <c r="AU39" s="30">
        <v>1.6001397192826476</v>
      </c>
      <c r="AV39" s="30">
        <v>0.46806452890448119</v>
      </c>
      <c r="AW39" s="30">
        <v>0.73120781903849141</v>
      </c>
      <c r="AX39" s="31">
        <v>0.73179584025736188</v>
      </c>
      <c r="AY39" s="30">
        <v>5.2067999999999994</v>
      </c>
      <c r="AZ39" s="30">
        <v>2.7432000000000003</v>
      </c>
      <c r="BA39" s="30">
        <v>9.7466390827395504</v>
      </c>
      <c r="BB39" s="30">
        <v>1.9308933578494281</v>
      </c>
      <c r="BC39" s="39">
        <v>-2.4776632156670622</v>
      </c>
      <c r="BD39" s="30">
        <v>6.1068000000000007</v>
      </c>
      <c r="BE39" s="30">
        <v>2.8428</v>
      </c>
      <c r="BF39" s="30">
        <v>19.79656867575391</v>
      </c>
      <c r="BG39" s="30">
        <v>3.3178019417868398</v>
      </c>
      <c r="BH39" s="39">
        <v>-2.3449989834696785</v>
      </c>
      <c r="BI39" s="30">
        <v>6.9612000000000007</v>
      </c>
      <c r="BJ39" s="30">
        <v>3.3204000000000002</v>
      </c>
      <c r="BK39" s="30">
        <v>29.189686812837714</v>
      </c>
      <c r="BL39" s="30">
        <v>4.2491929233525365</v>
      </c>
      <c r="BM39" s="39">
        <v>-2.2291050165145139</v>
      </c>
      <c r="BN39" s="30">
        <v>9.3792000000000009</v>
      </c>
      <c r="BO39" s="30">
        <v>4.611600000000001</v>
      </c>
      <c r="BP39" s="30">
        <v>38.649559655170684</v>
      </c>
      <c r="BQ39" s="30">
        <v>4.2008865026845381</v>
      </c>
      <c r="BR39" s="39">
        <v>-2.4678333204111658</v>
      </c>
      <c r="BS39" s="30">
        <v>10.036799999999999</v>
      </c>
      <c r="BT39" s="30">
        <v>4.6547999999999998</v>
      </c>
      <c r="BU39" s="30">
        <v>49.103967455335138</v>
      </c>
      <c r="BV39" s="30">
        <v>4.9135946453383097</v>
      </c>
      <c r="BW39" s="39">
        <v>-2.560311958019299</v>
      </c>
      <c r="BX39" s="49">
        <v>-0.062802552083291108</v>
      </c>
      <c r="BY39" s="49">
        <v>1.9286691017940725</v>
      </c>
      <c r="BZ39" s="49">
        <v>0.033800817599776933</v>
      </c>
      <c r="CA39" s="30">
        <v>1.7230000000000001</v>
      </c>
      <c r="CB39" s="30">
        <v>1.1055000000000001</v>
      </c>
      <c r="CC39" s="30">
        <v>0.61750000000000016</v>
      </c>
      <c r="CD39" s="30">
        <v>8.7220598891554229</v>
      </c>
      <c r="CE39" s="30">
        <v>8.0557298804765658</v>
      </c>
      <c r="CF39" s="30">
        <v>0.066500000000000004</v>
      </c>
      <c r="CG39" s="30">
        <v>3.1194068332691454</v>
      </c>
      <c r="CH39" s="30">
        <v>0.69000000000000006</v>
      </c>
      <c r="CI39" s="30">
        <v>0.15600000000000003</v>
      </c>
      <c r="CJ39" s="30">
        <v>0.41549999999999992</v>
      </c>
      <c r="CK39" s="30">
        <v>61.71107354919021</v>
      </c>
      <c r="CL39" s="30">
        <v>15.351277256213773</v>
      </c>
      <c r="CM39" s="30">
        <v>38.28892645080979</v>
      </c>
      <c r="CN39" s="30">
        <v>-1.5485911200881524</v>
      </c>
      <c r="CO39" s="30">
        <v>-1.6844817318313883</v>
      </c>
      <c r="CP39" s="30">
        <v>0.047248350678647709</v>
      </c>
      <c r="CQ39" s="31">
        <v>0</v>
      </c>
      <c r="CR39" s="30">
        <v>1.8477500000000002</v>
      </c>
      <c r="CS39" s="30">
        <v>1.3545000000000003</v>
      </c>
      <c r="CT39" s="30">
        <v>0.49325000000000002</v>
      </c>
      <c r="CU39" s="30">
        <v>16.965477717624065</v>
      </c>
      <c r="CV39" s="30">
        <v>13.297733320088785</v>
      </c>
      <c r="CW39" s="30">
        <v>0.066250000000000003</v>
      </c>
      <c r="CX39" s="30">
        <v>4.0823250678721426</v>
      </c>
      <c r="CY39" s="30">
        <v>0.58350000000000002</v>
      </c>
      <c r="CZ39" s="30">
        <v>0.33899999999999997</v>
      </c>
      <c r="DA39" s="30">
        <v>0.77100000000000013</v>
      </c>
      <c r="DB39" s="30">
        <v>43.449513569332225</v>
      </c>
      <c r="DC39" s="30">
        <v>24.601005092028107</v>
      </c>
      <c r="DD39" s="30">
        <v>56.550486430667775</v>
      </c>
      <c r="DE39" s="30">
        <v>-1.5748050283019392</v>
      </c>
      <c r="DF39" s="30">
        <v>-1.6428755112117366</v>
      </c>
      <c r="DG39" s="30">
        <v>0.082880748619696049</v>
      </c>
      <c r="DH39" s="30">
        <v>1</v>
      </c>
      <c r="DI39" s="30">
        <v>1.2582499999999999</v>
      </c>
      <c r="DJ39" s="30">
        <v>0.9840000000000001</v>
      </c>
      <c r="DK39" s="30">
        <v>0.33574999999999999</v>
      </c>
      <c r="DL39" s="30">
        <v>8.9521853584773563</v>
      </c>
      <c r="DM39" s="30">
        <v>9.2041837422539583</v>
      </c>
      <c r="DN39" s="30">
        <v>0.05425</v>
      </c>
      <c r="DO39" s="30">
        <v>5.1683948420807804</v>
      </c>
      <c r="DP39" s="30">
        <v>0.32250000000000001</v>
      </c>
      <c r="DQ39" s="30">
        <v>0.20699999999999999</v>
      </c>
      <c r="DR39" s="30">
        <v>0.65200000000000002</v>
      </c>
      <c r="DS39" s="30">
        <v>35.257622912007378</v>
      </c>
      <c r="DT39" s="30">
        <v>21.661789102151417</v>
      </c>
      <c r="DU39" s="30">
        <v>64.742377087992622</v>
      </c>
      <c r="DV39" s="30">
        <v>-1.5137198401243166</v>
      </c>
      <c r="DW39" s="30">
        <v>-1.523485631754657</v>
      </c>
      <c r="DX39" s="30">
        <v>0.11978425797815362</v>
      </c>
      <c r="DY39" s="30">
        <v>1.25</v>
      </c>
      <c r="DZ39" s="30">
        <v>1.7262500000000003</v>
      </c>
      <c r="EA39" s="30">
        <v>1.3035000000000001</v>
      </c>
      <c r="EB39" s="30">
        <v>0.4227499999999999</v>
      </c>
      <c r="EC39" s="30">
        <v>17.072335102733639</v>
      </c>
      <c r="ED39" s="30">
        <v>13.444707849252861</v>
      </c>
      <c r="EE39" s="30">
        <v>0.066250000000000003</v>
      </c>
      <c r="EF39" s="30">
        <v>0.43800000000000006</v>
      </c>
      <c r="EG39" s="30">
        <v>0.25350000000000006</v>
      </c>
      <c r="EH39" s="30">
        <v>0.86550000000000016</v>
      </c>
      <c r="EI39" s="30">
        <v>35.21661219506084</v>
      </c>
      <c r="EJ39" s="30">
        <v>19.69085165770538</v>
      </c>
      <c r="EK39" s="30">
        <v>64.783387804939167</v>
      </c>
      <c r="EL39" s="30">
        <v>-1.5099148142949566</v>
      </c>
      <c r="EM39" s="30">
        <v>-1.5645215130158205</v>
      </c>
      <c r="EN39" s="30">
        <v>0.061578332631351332</v>
      </c>
      <c r="EO39" s="30">
        <v>1.5</v>
      </c>
    </row>
    <row r="40" ht="14.25">
      <c r="A40" s="42" t="s">
        <v>138</v>
      </c>
      <c r="B40" s="52">
        <v>2</v>
      </c>
      <c r="C40" s="55">
        <v>8.0099999999999998</v>
      </c>
      <c r="D40" s="30">
        <v>0.65142857142857147</v>
      </c>
      <c r="E40" s="30">
        <v>0.90428571428571425</v>
      </c>
      <c r="F40" s="30">
        <v>1.5771428571428572</v>
      </c>
      <c r="G40" s="30">
        <v>0.021428571428571432</v>
      </c>
      <c r="H40" s="30">
        <v>10.710312438688002</v>
      </c>
      <c r="I40" s="30">
        <v>17.747360172095988</v>
      </c>
      <c r="J40" s="30">
        <v>0.33857142857142858</v>
      </c>
      <c r="K40" s="30">
        <v>49.938279843949488</v>
      </c>
      <c r="L40" s="30">
        <f>J40/F40</f>
        <v>0.21467391304347827</v>
      </c>
      <c r="M40" s="30">
        <v>-1.472819366507895</v>
      </c>
      <c r="N40" s="31">
        <v>0.23620825238180107</v>
      </c>
      <c r="O40" s="30">
        <v>0.6253333333333333</v>
      </c>
      <c r="P40" s="30">
        <v>0.79666666666666675</v>
      </c>
      <c r="Q40" s="30">
        <v>1.4253333333333336</v>
      </c>
      <c r="R40" s="30">
        <v>0.0033333333333333335</v>
      </c>
      <c r="S40" s="30">
        <v>10.229905977886254</v>
      </c>
      <c r="T40" s="30">
        <v>17.33821211252906</v>
      </c>
      <c r="U40" s="30">
        <v>0.32400000000000007</v>
      </c>
      <c r="V40" s="30">
        <v>51.135760138088877</v>
      </c>
      <c r="W40" s="30">
        <f>U40/Q40</f>
        <v>0.22731524789522919</v>
      </c>
      <c r="X40" s="30">
        <v>-1.5096715135209799</v>
      </c>
      <c r="Y40" s="31">
        <v>0.16465140343680665</v>
      </c>
      <c r="Z40" s="32">
        <f>F40-Q40</f>
        <v>0.15180952380952362</v>
      </c>
      <c r="AA40" s="30">
        <v>1.8992</v>
      </c>
      <c r="AB40" s="30">
        <v>3.7962000000000002</v>
      </c>
      <c r="AC40" s="30">
        <v>0.016000000000000004</v>
      </c>
      <c r="AD40" s="30">
        <v>0.97720000000000007</v>
      </c>
      <c r="AE40" s="30">
        <v>0.92200000000000026</v>
      </c>
      <c r="AF40" s="30">
        <v>11.720101318449299</v>
      </c>
      <c r="AG40" s="30">
        <f>AF40/AA40</f>
        <v>6.1710727245415429</v>
      </c>
      <c r="AH40" s="30">
        <v>-2.1769853478823009</v>
      </c>
      <c r="AI40" s="72">
        <f>(AE40/AA40)*100</f>
        <v>48.546756529064879</v>
      </c>
      <c r="AJ40" s="30">
        <v>2.1708000000000007</v>
      </c>
      <c r="AK40" s="30">
        <v>4.1664000000000012</v>
      </c>
      <c r="AL40" s="30">
        <v>0.017399999999999999</v>
      </c>
      <c r="AM40" s="30">
        <v>1.1160000000000001</v>
      </c>
      <c r="AN40" s="30">
        <v>1.0548</v>
      </c>
      <c r="AO40" s="30">
        <v>11.795180825516885</v>
      </c>
      <c r="AP40" s="30">
        <f>AN40/AJ40</f>
        <v>0.48590381426202306</v>
      </c>
      <c r="AQ40" s="30">
        <v>-2.2218933766788642</v>
      </c>
      <c r="AR40" s="45">
        <f>(AN40/AJ40)*100</f>
        <v>48.590381426202306</v>
      </c>
      <c r="AS40" s="46">
        <f>AJ40-AA40</f>
        <v>0.27160000000000073</v>
      </c>
      <c r="AT40" s="46">
        <f>AN40-AE40</f>
        <v>0.1327999999999997</v>
      </c>
      <c r="AU40" s="30">
        <v>1.0794005324500864</v>
      </c>
      <c r="AV40" s="30">
        <v>0.41625180248674265</v>
      </c>
      <c r="AW40" s="30">
        <v>0.4668012120561198</v>
      </c>
      <c r="AX40" s="31">
        <v>0.46772282962472367</v>
      </c>
      <c r="AY40" s="30">
        <v>3.4512</v>
      </c>
      <c r="AZ40" s="30">
        <v>1.6559999999999999</v>
      </c>
      <c r="BA40" s="30">
        <v>10.145320934576096</v>
      </c>
      <c r="BB40" s="30">
        <v>2.986896955372774</v>
      </c>
      <c r="BC40" s="39">
        <v>-2.5853063502759976</v>
      </c>
      <c r="BD40" s="30">
        <v>2.8487999999999998</v>
      </c>
      <c r="BE40" s="30">
        <v>1.3260000000000001</v>
      </c>
      <c r="BF40" s="30">
        <v>19.842340781715734</v>
      </c>
      <c r="BG40" s="30">
        <v>7.1219496059441898</v>
      </c>
      <c r="BH40" s="39">
        <v>-2.3542823374931112</v>
      </c>
      <c r="BI40" s="30">
        <v>4.9056000000000015</v>
      </c>
      <c r="BJ40" s="30">
        <v>2.3628</v>
      </c>
      <c r="BK40" s="30">
        <v>29.588929588345557</v>
      </c>
      <c r="BL40" s="30">
        <v>6.0703685120772644</v>
      </c>
      <c r="BM40" s="39">
        <v>-2.4022291381339507</v>
      </c>
      <c r="BN40" s="30">
        <v>4.1652000000000005</v>
      </c>
      <c r="BO40" s="30">
        <v>1.8072000000000004</v>
      </c>
      <c r="BP40" s="30">
        <v>39.0517555409577</v>
      </c>
      <c r="BQ40" s="30">
        <v>9.4843858767007614</v>
      </c>
      <c r="BR40" s="39">
        <v>-2.7159530827992731</v>
      </c>
      <c r="BS40" s="30">
        <v>6.0755999999999997</v>
      </c>
      <c r="BT40" s="30">
        <v>2.9868000000000001</v>
      </c>
      <c r="BU40" s="30">
        <v>48.87574481223669</v>
      </c>
      <c r="BV40" s="30">
        <v>8.3033071453457055</v>
      </c>
      <c r="BW40" s="39">
        <v>-2.2351898194392636</v>
      </c>
      <c r="BX40" s="49">
        <v>0.11814960933834694</v>
      </c>
      <c r="BY40" s="49">
        <v>0.32313764471802076</v>
      </c>
      <c r="BZ40" s="49">
        <v>0.64924601847408825</v>
      </c>
      <c r="CA40" s="30">
        <v>0.66975000000000007</v>
      </c>
      <c r="CB40" s="30">
        <v>0.42750000000000005</v>
      </c>
      <c r="CC40" s="30">
        <v>0.24224999999999999</v>
      </c>
      <c r="CD40" s="30">
        <v>9.0522615485218765</v>
      </c>
      <c r="CE40" s="30">
        <v>21.292242882472451</v>
      </c>
      <c r="CF40" s="30">
        <v>0.057749999999999989</v>
      </c>
      <c r="CG40" s="30">
        <v>3.1731059073650449</v>
      </c>
      <c r="CH40" s="30">
        <v>0.20100000000000001</v>
      </c>
      <c r="CI40" s="30">
        <v>0.076500000000000012</v>
      </c>
      <c r="CJ40" s="30">
        <v>0.22649999999999998</v>
      </c>
      <c r="CK40" s="30">
        <v>47.035190400751041</v>
      </c>
      <c r="CL40" s="30">
        <v>17.933095699114006</v>
      </c>
      <c r="CM40" s="30">
        <v>52.964809599248966</v>
      </c>
      <c r="CN40" s="30">
        <v>-1.4059939883204819</v>
      </c>
      <c r="CO40" s="30">
        <v>-1.4214984269827706</v>
      </c>
      <c r="CP40" s="30">
        <v>0.082084185123047604</v>
      </c>
      <c r="CQ40" s="31">
        <v>0</v>
      </c>
      <c r="CR40" s="30">
        <v>0.873</v>
      </c>
      <c r="CS40" s="30">
        <v>0.52800000000000002</v>
      </c>
      <c r="CT40" s="30">
        <v>0.34500000000000003</v>
      </c>
      <c r="CU40" s="30">
        <v>17.392483117885138</v>
      </c>
      <c r="CV40" s="30">
        <v>33.136852331806551</v>
      </c>
      <c r="CW40" s="30">
        <v>0.052500000000000005</v>
      </c>
      <c r="CX40" s="30">
        <v>4.116612708703892</v>
      </c>
      <c r="CY40" s="30">
        <v>0.22800000000000004</v>
      </c>
      <c r="CZ40" s="30">
        <v>0.097500000000000003</v>
      </c>
      <c r="DA40" s="30">
        <v>0.30000000000000004</v>
      </c>
      <c r="DB40" s="30">
        <v>43.207750356263759</v>
      </c>
      <c r="DC40" s="30">
        <v>18.431973863194713</v>
      </c>
      <c r="DD40" s="30">
        <v>56.792249643736241</v>
      </c>
      <c r="DE40" s="30">
        <v>-1.4080639616323241</v>
      </c>
      <c r="DF40" s="30">
        <v>-1.447024261412136</v>
      </c>
      <c r="DG40" s="30">
        <v>0.1114704713654199</v>
      </c>
      <c r="DH40" s="30">
        <v>0</v>
      </c>
      <c r="DI40" s="30">
        <v>0.88650000000000007</v>
      </c>
      <c r="DJ40" s="30">
        <v>0.63</v>
      </c>
      <c r="DK40" s="30">
        <v>0.3765</v>
      </c>
      <c r="DL40" s="30">
        <v>8.7972326193079056</v>
      </c>
      <c r="DM40" s="30">
        <v>13.963861300488739</v>
      </c>
      <c r="DN40" s="30">
        <v>0.048000000000000001</v>
      </c>
      <c r="DO40" s="30">
        <v>5.2044401971062619</v>
      </c>
      <c r="DP40" s="30">
        <v>0.20550000000000002</v>
      </c>
      <c r="DQ40" s="30">
        <v>0.076500000000000012</v>
      </c>
      <c r="DR40" s="30">
        <v>0.41399999999999998</v>
      </c>
      <c r="DS40" s="30">
        <v>41.022186147186147</v>
      </c>
      <c r="DT40" s="30">
        <v>15.143939393939394</v>
      </c>
      <c r="DU40" s="30">
        <v>58.977813852813846</v>
      </c>
      <c r="DV40" s="30">
        <v>-1.4061795121340301</v>
      </c>
      <c r="DW40" s="30">
        <v>-1.422723397694627</v>
      </c>
      <c r="DX40" s="30">
        <v>0.049095458192744648</v>
      </c>
      <c r="DY40" s="30">
        <v>0.25</v>
      </c>
      <c r="DZ40" s="30">
        <v>1.05925</v>
      </c>
      <c r="EA40" s="30">
        <v>0.75</v>
      </c>
      <c r="EB40" s="30">
        <v>0.36925000000000008</v>
      </c>
      <c r="EC40" s="30">
        <v>17.373511181732066</v>
      </c>
      <c r="ED40" s="30">
        <v>23.907583062368506</v>
      </c>
      <c r="EE40" s="30">
        <v>0.052249999999999998</v>
      </c>
      <c r="EF40" s="30">
        <v>0.22800000000000004</v>
      </c>
      <c r="EG40" s="30">
        <v>0.088500000000000009</v>
      </c>
      <c r="EH40" s="30">
        <v>0.52600000000000002</v>
      </c>
      <c r="EI40" s="30">
        <v>35.154120744963251</v>
      </c>
      <c r="EJ40" s="30">
        <v>13.464941382528849</v>
      </c>
      <c r="EK40" s="30">
        <v>64.845879255036749</v>
      </c>
      <c r="EL40" s="30">
        <v>-1.4304565617539553</v>
      </c>
      <c r="EM40" s="30">
        <v>-1.4571683032520741</v>
      </c>
      <c r="EN40" s="30">
        <v>0.19959025368244993</v>
      </c>
      <c r="EO40" s="30">
        <v>0.75</v>
      </c>
    </row>
    <row r="41" ht="14.25">
      <c r="A41" s="43" t="s">
        <v>139</v>
      </c>
      <c r="B41" s="43">
        <v>1</v>
      </c>
      <c r="C41" s="55">
        <v>8.0199999999999996</v>
      </c>
      <c r="D41" s="30">
        <v>1.6460000000000001</v>
      </c>
      <c r="E41" s="30">
        <v>1.6760000000000002</v>
      </c>
      <c r="F41" s="30">
        <v>3.3740000000000001</v>
      </c>
      <c r="G41" s="30">
        <v>0.051999999999999998</v>
      </c>
      <c r="H41" s="30">
        <v>12.010021317546224</v>
      </c>
      <c r="I41" s="30">
        <v>17.805764642336623</v>
      </c>
      <c r="J41" s="30">
        <v>0.69200000000000006</v>
      </c>
      <c r="K41" s="30">
        <v>44.630380887987371</v>
      </c>
      <c r="L41" s="30">
        <f>J41/F41</f>
        <v>0.20509780675755782</v>
      </c>
      <c r="M41" s="30">
        <v>-1.7274018253657693</v>
      </c>
      <c r="N41" s="31">
        <v>0.36941523158144635</v>
      </c>
      <c r="O41" s="30">
        <v>1.0716000000000001</v>
      </c>
      <c r="P41" s="30">
        <v>0.83399999999999996</v>
      </c>
      <c r="Q41" s="30">
        <v>2.1120000000000001</v>
      </c>
      <c r="R41" s="30">
        <v>0.2064</v>
      </c>
      <c r="S41" s="30">
        <v>10.536023826186275</v>
      </c>
      <c r="T41" s="30">
        <v>17.21250510878334</v>
      </c>
      <c r="U41" s="30">
        <v>0.38400000000000006</v>
      </c>
      <c r="V41" s="30">
        <v>39.070536903913421</v>
      </c>
      <c r="W41" s="30">
        <f>U41/Q41</f>
        <v>0.18181818181818185</v>
      </c>
      <c r="X41" s="30">
        <v>-1.6062493306286862</v>
      </c>
      <c r="Y41" s="31">
        <v>0.15692555359000379</v>
      </c>
      <c r="Z41" s="32">
        <f>F41-Q41</f>
        <v>1.262</v>
      </c>
      <c r="AA41" s="30">
        <v>2.0426666666666669</v>
      </c>
      <c r="AB41" s="30">
        <v>3.9020000000000001</v>
      </c>
      <c r="AC41" s="30">
        <v>0.04933333333333334</v>
      </c>
      <c r="AD41" s="30">
        <v>1.1153333333333333</v>
      </c>
      <c r="AE41" s="30">
        <v>0.92733333333333356</v>
      </c>
      <c r="AF41" s="30">
        <v>11.797877215198509</v>
      </c>
      <c r="AG41" s="30">
        <f>AF41/AA41</f>
        <v>5.7757231797642827</v>
      </c>
      <c r="AH41" s="30">
        <v>-2.3091522006599394</v>
      </c>
      <c r="AI41" s="72">
        <f>(AE41/AA41)*100</f>
        <v>45.398172323759802</v>
      </c>
      <c r="AJ41" s="30">
        <v>3.1600000000000006</v>
      </c>
      <c r="AK41" s="30">
        <v>6.2860000000000005</v>
      </c>
      <c r="AL41" s="30">
        <v>0.046666666666666676</v>
      </c>
      <c r="AM41" s="30">
        <v>1.5893333333333333</v>
      </c>
      <c r="AN41" s="30">
        <v>1.5706666666666669</v>
      </c>
      <c r="AO41" s="30">
        <v>12.234065521404824</v>
      </c>
      <c r="AP41" s="30">
        <f>AN41/AJ41</f>
        <v>0.49704641350210965</v>
      </c>
      <c r="AQ41" s="30">
        <v>-2.5842652408447631</v>
      </c>
      <c r="AR41" s="45">
        <f>(AN41/AJ41)*100</f>
        <v>49.704641350210963</v>
      </c>
      <c r="AS41" s="46">
        <f>AJ41-AA41</f>
        <v>1.1173333333333337</v>
      </c>
      <c r="AT41" s="46">
        <f>AN41-AE41</f>
        <v>0.64333333333333331</v>
      </c>
      <c r="AU41" s="30">
        <v>2.0621362932736069</v>
      </c>
      <c r="AV41" s="30">
        <v>0.32296309737757672</v>
      </c>
      <c r="AW41" s="30">
        <v>0.056220168840630302</v>
      </c>
      <c r="AX41" s="31">
        <v>0.05740210612718645</v>
      </c>
      <c r="AY41" s="30">
        <v>5.1560000000000006</v>
      </c>
      <c r="AZ41" s="30">
        <v>2.3560000000000003</v>
      </c>
      <c r="BA41" s="30">
        <v>9.3053417754146199</v>
      </c>
      <c r="BB41" s="30">
        <v>1.8213261530472691</v>
      </c>
      <c r="BC41" s="39">
        <v>-2.4084747799118342</v>
      </c>
      <c r="BD41" s="30">
        <v>7.3170000000000002</v>
      </c>
      <c r="BE41" s="30">
        <v>3.7155000000000005</v>
      </c>
      <c r="BF41" s="30">
        <v>20.175890432589057</v>
      </c>
      <c r="BG41" s="30">
        <v>2.8541128943494547</v>
      </c>
      <c r="BH41" s="39">
        <v>-3.2385922139697692</v>
      </c>
      <c r="BI41" s="30">
        <v>3.0491999999999999</v>
      </c>
      <c r="BJ41" s="30">
        <v>1.3560000000000001</v>
      </c>
      <c r="BK41" s="30">
        <v>29.929453271763997</v>
      </c>
      <c r="BL41" s="30">
        <v>10.170769818522011</v>
      </c>
      <c r="BM41" s="39">
        <v>-2.1926102560684977</v>
      </c>
      <c r="BN41" s="30">
        <v>4.2168000000000001</v>
      </c>
      <c r="BO41" s="30">
        <v>1.8528000000000002</v>
      </c>
      <c r="BP41" s="30">
        <v>39.098881533738812</v>
      </c>
      <c r="BQ41" s="30">
        <v>9.7525607208564686</v>
      </c>
      <c r="BR41" s="39">
        <v>-2.4437959959283631</v>
      </c>
      <c r="BS41" s="30">
        <v>11.586</v>
      </c>
      <c r="BT41" s="30">
        <v>5.205000000000001</v>
      </c>
      <c r="BU41" s="30">
        <v>48.189247850688446</v>
      </c>
      <c r="BV41" s="30">
        <v>4.7435952985598311</v>
      </c>
      <c r="BW41" s="39">
        <v>-2.8517583892132059</v>
      </c>
      <c r="BX41" s="30">
        <v>-0.66524438054239365</v>
      </c>
      <c r="BY41" s="30">
        <v>5.6441470627340538</v>
      </c>
      <c r="BZ41" s="30">
        <v>0.12471124350298735</v>
      </c>
      <c r="CA41" s="30">
        <v>4.8559999999999999</v>
      </c>
      <c r="CB41" s="30">
        <v>4.4009999999999998</v>
      </c>
      <c r="CC41" s="30">
        <v>0.45500000000000007</v>
      </c>
      <c r="CD41" s="30">
        <v>8.5445359343090885</v>
      </c>
      <c r="CE41" s="30">
        <v>17.40990132591801</v>
      </c>
      <c r="CF41" s="30">
        <v>0.056500000000000009</v>
      </c>
      <c r="CG41" s="30">
        <v>3.0738970112943487</v>
      </c>
      <c r="CH41" s="30">
        <v>0.45600000000000002</v>
      </c>
      <c r="CI41" s="30">
        <v>0.36899999999999999</v>
      </c>
      <c r="CJ41" s="30">
        <v>3.9450000000000003</v>
      </c>
      <c r="CK41" s="30">
        <v>31.167369901547119</v>
      </c>
      <c r="CL41" s="30">
        <v>16.160337552742618</v>
      </c>
      <c r="CM41" s="30">
        <v>68.832630098452881</v>
      </c>
      <c r="CN41" s="30">
        <v>-1.7111725425125368</v>
      </c>
      <c r="CO41" s="30">
        <v>-1.6233579775872802</v>
      </c>
      <c r="CP41" s="30">
        <v>0.10904581507035831</v>
      </c>
      <c r="CQ41" s="31">
        <v>15.5</v>
      </c>
      <c r="CR41" s="30">
        <v>1.0275000000000001</v>
      </c>
      <c r="CS41" s="30">
        <v>0.29400000000000004</v>
      </c>
      <c r="CT41" s="30">
        <v>0.73349999999999993</v>
      </c>
      <c r="CU41" s="30">
        <v>17.007105152400811</v>
      </c>
      <c r="CV41" s="30">
        <v>58.096456459422832</v>
      </c>
      <c r="CW41" s="30">
        <v>0.033500000000000002</v>
      </c>
      <c r="CX41" s="30">
        <v>4.0850630240012791</v>
      </c>
      <c r="CY41" s="30">
        <v>0.16500000000000001</v>
      </c>
      <c r="CZ41" s="30">
        <v>0.078</v>
      </c>
      <c r="DA41" s="30">
        <v>0.129</v>
      </c>
      <c r="DB41" s="30">
        <v>56.270903010033443</v>
      </c>
      <c r="DC41" s="30">
        <v>26.630434782608699</v>
      </c>
      <c r="DD41" s="30">
        <v>43.729096989966557</v>
      </c>
      <c r="DE41" s="30">
        <v>-1.407636437439197</v>
      </c>
      <c r="DF41" s="30">
        <v>-1.3533541738134218</v>
      </c>
      <c r="DG41" s="30">
        <v>0.05972509371258574</v>
      </c>
      <c r="DH41" s="30">
        <v>0</v>
      </c>
      <c r="DI41" s="30">
        <v>1.9495000000000005</v>
      </c>
      <c r="DJ41" s="30">
        <v>1.6500000000000001</v>
      </c>
      <c r="DK41" s="30">
        <v>0.64750000000000008</v>
      </c>
      <c r="DL41" s="30">
        <v>10.447670859289872</v>
      </c>
      <c r="DM41" s="30">
        <v>6.331921732902952</v>
      </c>
      <c r="DN41" s="30">
        <v>0.014749999999999999</v>
      </c>
      <c r="DO41" s="30">
        <v>5.1203294216699939</v>
      </c>
      <c r="DP41" s="30">
        <v>0.4200000000000001</v>
      </c>
      <c r="DQ41" s="30">
        <v>0.8610000000000001</v>
      </c>
      <c r="DR41" s="30">
        <v>1.3320000000000001</v>
      </c>
      <c r="DS41" s="30">
        <v>36.99485420240137</v>
      </c>
      <c r="DT41" s="30">
        <v>62.263007432818746</v>
      </c>
      <c r="DU41" s="30">
        <v>63.00514579759863</v>
      </c>
      <c r="DV41" s="30">
        <v>-1.6789268053560769</v>
      </c>
      <c r="DW41" s="30">
        <v>-1.7279356156850403</v>
      </c>
      <c r="DX41" s="30">
        <v>0.37420884343024613</v>
      </c>
      <c r="DY41" s="30">
        <v>3.5</v>
      </c>
      <c r="DZ41" s="30">
        <v>2.5369999999999999</v>
      </c>
      <c r="EA41" s="30">
        <v>1.2930000000000001</v>
      </c>
      <c r="EB41" s="30">
        <v>1.244</v>
      </c>
      <c r="EC41" s="30">
        <v>16.924731417420634</v>
      </c>
      <c r="ED41" s="30">
        <v>16.954944424824696</v>
      </c>
      <c r="EE41" s="30">
        <v>0.054500000000000007</v>
      </c>
      <c r="EF41" s="30">
        <v>0.63300000000000001</v>
      </c>
      <c r="EG41" s="30">
        <v>0.54900000000000004</v>
      </c>
      <c r="EH41" s="30">
        <v>0.66000000000000003</v>
      </c>
      <c r="EI41" s="30">
        <v>41.73345578004119</v>
      </c>
      <c r="EJ41" s="30">
        <v>33.052262481215557</v>
      </c>
      <c r="EK41" s="30">
        <v>58.266544219958803</v>
      </c>
      <c r="EL41" s="30">
        <v>-1.4318729682021829</v>
      </c>
      <c r="EM41" s="30">
        <v>-1.5746495233024123</v>
      </c>
      <c r="EN41" s="30">
        <v>0.18106940551150208</v>
      </c>
      <c r="EO41" s="30">
        <v>1.5</v>
      </c>
    </row>
    <row r="42" ht="14.25">
      <c r="A42" s="42" t="s">
        <v>138</v>
      </c>
      <c r="B42" s="52">
        <v>2</v>
      </c>
      <c r="C42" s="55">
        <v>8.0199999999999996</v>
      </c>
      <c r="D42" s="30">
        <v>0.8670000000000001</v>
      </c>
      <c r="E42" s="30">
        <v>1.2930000000000001</v>
      </c>
      <c r="F42" s="30">
        <v>2.2110000000000003</v>
      </c>
      <c r="G42" s="30">
        <v>0.051000000000000004</v>
      </c>
      <c r="H42" s="30">
        <v>10.544947371248629</v>
      </c>
      <c r="I42" s="30">
        <v>17.714902153710391</v>
      </c>
      <c r="J42" s="30">
        <v>0.47099999999999997</v>
      </c>
      <c r="K42" s="30">
        <v>54.669598292871477</v>
      </c>
      <c r="L42" s="30">
        <f>J42/F42</f>
        <v>0.21302578018995924</v>
      </c>
      <c r="M42" s="30">
        <v>-1.5012429645388641</v>
      </c>
      <c r="N42" s="31">
        <v>0.20290821596527656</v>
      </c>
      <c r="O42" s="30">
        <v>0.57466666666666677</v>
      </c>
      <c r="P42" s="30">
        <v>0.53400000000000003</v>
      </c>
      <c r="Q42" s="30">
        <v>1.1860000000000002</v>
      </c>
      <c r="R42" s="30">
        <v>0.077333333333333337</v>
      </c>
      <c r="S42" s="30">
        <v>10.821393953266817</v>
      </c>
      <c r="T42" s="30">
        <v>18.461840869122042</v>
      </c>
      <c r="U42" s="30">
        <v>0.26333333333333336</v>
      </c>
      <c r="V42" s="30">
        <v>45.561523927864279</v>
      </c>
      <c r="W42" s="30">
        <f>U42/Q42</f>
        <v>0.22203485103991005</v>
      </c>
      <c r="X42" s="30">
        <v>-1.4528319210411755</v>
      </c>
      <c r="Y42" s="31">
        <v>0.19708856728804747</v>
      </c>
      <c r="Z42" s="32">
        <f>F42-Q42</f>
        <v>1.0250000000000001</v>
      </c>
      <c r="AA42" s="30">
        <v>2.7786</v>
      </c>
      <c r="AB42" s="30">
        <v>4.8564000000000007</v>
      </c>
      <c r="AC42" s="30">
        <v>0.014200000000000001</v>
      </c>
      <c r="AD42" s="30">
        <v>1.7279999999999998</v>
      </c>
      <c r="AE42" s="30">
        <v>1.0506000000000002</v>
      </c>
      <c r="AF42" s="30">
        <v>11.410730024834441</v>
      </c>
      <c r="AG42" s="30">
        <f>AF42/AA42</f>
        <v>4.1066472413569572</v>
      </c>
      <c r="AH42" s="30">
        <v>-2.3361682581729104</v>
      </c>
      <c r="AI42" s="72">
        <f>(AE42/AA42)*100</f>
        <v>37.810408119196723</v>
      </c>
      <c r="AJ42" s="30">
        <v>2.0740000000000003</v>
      </c>
      <c r="AK42" s="30">
        <v>3.3140000000000001</v>
      </c>
      <c r="AL42" s="30">
        <v>0.019333333333333334</v>
      </c>
      <c r="AM42" s="30">
        <v>1.26</v>
      </c>
      <c r="AN42" s="30">
        <v>0.81400000000000006</v>
      </c>
      <c r="AO42" s="30">
        <v>11.465714865905108</v>
      </c>
      <c r="AP42" s="30">
        <f>AN42/AJ42</f>
        <v>0.3924783027965284</v>
      </c>
      <c r="AQ42" s="30">
        <v>-2.367592036384992</v>
      </c>
      <c r="AR42" s="45">
        <f>(AN42/AJ42)*100</f>
        <v>39.247830279652838</v>
      </c>
      <c r="AS42" s="46">
        <f>AJ42-AA42</f>
        <v>-0.70459999999999967</v>
      </c>
      <c r="AT42" s="46">
        <f>AN42-AE42</f>
        <v>-0.23660000000000014</v>
      </c>
      <c r="AU42" s="30">
        <v>2.2896923689981818</v>
      </c>
      <c r="AV42" s="30">
        <v>0.37433647819320681</v>
      </c>
      <c r="AW42" s="30">
        <v>0.10831189748814285</v>
      </c>
      <c r="AX42" s="31">
        <v>0.10882621854105433</v>
      </c>
      <c r="AY42" s="30">
        <v>7.2053333333333329</v>
      </c>
      <c r="AZ42" s="30">
        <v>3.5600000000000001</v>
      </c>
      <c r="BA42" s="30">
        <v>9.9633623905257753</v>
      </c>
      <c r="BB42" s="30">
        <v>1.488657097927832</v>
      </c>
      <c r="BC42" s="39">
        <v>-2.8649354132876521</v>
      </c>
      <c r="BD42" s="30">
        <v>5.2728000000000002</v>
      </c>
      <c r="BE42" s="30">
        <v>2.7852000000000006</v>
      </c>
      <c r="BF42" s="30">
        <v>19.722441631862889</v>
      </c>
      <c r="BG42" s="30">
        <v>4.0415785659892567</v>
      </c>
      <c r="BH42" s="39">
        <v>-2.6541074290001276</v>
      </c>
      <c r="BI42" s="30">
        <v>10.396800000000002</v>
      </c>
      <c r="BJ42" s="30">
        <v>5.1720000000000006</v>
      </c>
      <c r="BK42" s="30">
        <v>29.513102051526367</v>
      </c>
      <c r="BL42" s="30">
        <v>3.4957564832060628</v>
      </c>
      <c r="BM42" s="39">
        <v>-3.0408120338020992</v>
      </c>
      <c r="BN42" s="30">
        <v>5.6400000000000006</v>
      </c>
      <c r="BO42" s="30">
        <v>2.9772000000000003</v>
      </c>
      <c r="BP42" s="30">
        <v>38.228872176420012</v>
      </c>
      <c r="BQ42" s="30">
        <v>7.1823842594799361</v>
      </c>
      <c r="BR42" s="39">
        <v>-2.3436755195115699</v>
      </c>
      <c r="BS42" s="30">
        <v>12.021000000000001</v>
      </c>
      <c r="BT42" s="30">
        <v>5.7690000000000001</v>
      </c>
      <c r="BU42" s="30">
        <v>48.937259516969618</v>
      </c>
      <c r="BV42" s="30">
        <v>4.1830788819361961</v>
      </c>
      <c r="BW42" s="39">
        <v>-2.5180259434544818</v>
      </c>
      <c r="BX42" s="49">
        <v>0.40045108565121101</v>
      </c>
      <c r="BY42" s="49">
        <v>-0.3137919677607458</v>
      </c>
      <c r="BZ42" s="49">
        <v>0.41392217028895506</v>
      </c>
      <c r="CA42" s="30">
        <v>1.1222500000000002</v>
      </c>
      <c r="CB42" s="30">
        <v>0.73950000000000005</v>
      </c>
      <c r="CC42" s="30">
        <v>0.38274999999999998</v>
      </c>
      <c r="CD42" s="30">
        <v>8.6793580383534312</v>
      </c>
      <c r="CE42" s="30">
        <v>12.905479728866279</v>
      </c>
      <c r="CF42" s="30">
        <v>0.046249999999999999</v>
      </c>
      <c r="CG42" s="30">
        <v>3.1060807473265024</v>
      </c>
      <c r="CH42" s="30">
        <v>0.46350000000000008</v>
      </c>
      <c r="CI42" s="30">
        <v>0.1545</v>
      </c>
      <c r="CJ42" s="30">
        <v>0.27600000000000002</v>
      </c>
      <c r="CK42" s="30">
        <v>58.993823287943336</v>
      </c>
      <c r="CL42" s="30">
        <v>23.942477926283072</v>
      </c>
      <c r="CM42" s="30">
        <v>41.006176712056664</v>
      </c>
      <c r="CN42" s="30">
        <v>-1.6355542310159024</v>
      </c>
      <c r="CO42" s="30">
        <v>-1.6051685685005441</v>
      </c>
      <c r="CP42" s="30">
        <v>0.13521675495339</v>
      </c>
      <c r="CQ42" s="31">
        <v>0</v>
      </c>
      <c r="CR42" s="30">
        <v>1.1005</v>
      </c>
      <c r="CS42" s="30">
        <v>0.78750000000000009</v>
      </c>
      <c r="CT42" s="30">
        <v>0.31300000000000006</v>
      </c>
      <c r="CU42" s="30">
        <v>16.939538915398209</v>
      </c>
      <c r="CV42" s="30">
        <v>22.33304579138423</v>
      </c>
      <c r="CW42" s="30">
        <v>0.051500000000000004</v>
      </c>
      <c r="CX42" s="30">
        <v>4.0792942522490616</v>
      </c>
      <c r="CY42" s="30">
        <v>0.47699999999999998</v>
      </c>
      <c r="CZ42" s="30">
        <v>0.13350000000000001</v>
      </c>
      <c r="DA42" s="30">
        <v>0.3105</v>
      </c>
      <c r="DB42" s="30">
        <v>60.459894351148229</v>
      </c>
      <c r="DC42" s="30">
        <v>16.104956513883241</v>
      </c>
      <c r="DD42" s="30">
        <v>39.540105648851778</v>
      </c>
      <c r="DE42" s="30">
        <v>-1.6274462771438114</v>
      </c>
      <c r="DF42" s="30">
        <v>-1.6717956600225878</v>
      </c>
      <c r="DG42" s="30">
        <v>0.13179076392418893</v>
      </c>
      <c r="DH42" s="30">
        <v>0.25</v>
      </c>
      <c r="DI42" s="30">
        <v>1.6112500000000001</v>
      </c>
      <c r="DJ42" s="30">
        <v>0.99600000000000011</v>
      </c>
      <c r="DK42" s="30">
        <v>0.64975000000000005</v>
      </c>
      <c r="DL42" s="30">
        <v>8.8889584505909234</v>
      </c>
      <c r="DM42" s="30">
        <v>8.9246570789065487</v>
      </c>
      <c r="DN42" s="30">
        <v>0.041750000000000002</v>
      </c>
      <c r="DO42" s="30">
        <v>5.1549212602948966</v>
      </c>
      <c r="DP42" s="30">
        <v>0.27450000000000002</v>
      </c>
      <c r="DQ42" s="30">
        <v>0.20250000000000004</v>
      </c>
      <c r="DR42" s="30">
        <v>0.70800000000000007</v>
      </c>
      <c r="DS42" s="30">
        <v>30.578737541650675</v>
      </c>
      <c r="DT42" s="30">
        <v>22.009838470099055</v>
      </c>
      <c r="DU42" s="30">
        <v>69.421262458349332</v>
      </c>
      <c r="DV42" s="30">
        <v>-1.5632456548274527</v>
      </c>
      <c r="DW42" s="30">
        <v>-1.4741531311533058</v>
      </c>
      <c r="DX42" s="30">
        <v>0.078351434783285073</v>
      </c>
      <c r="DY42" s="30">
        <v>1.25</v>
      </c>
      <c r="DZ42" s="30">
        <v>2.2857500000000002</v>
      </c>
      <c r="EA42" s="30">
        <v>1.7414999999999998</v>
      </c>
      <c r="EB42" s="30">
        <v>0.54425000000000001</v>
      </c>
      <c r="EC42" s="30">
        <v>16.947919744336843</v>
      </c>
      <c r="ED42" s="30">
        <v>13.221612979009038</v>
      </c>
      <c r="EE42" s="30">
        <v>0.066250000000000003</v>
      </c>
      <c r="EF42" s="30">
        <v>0.4290000000000001</v>
      </c>
      <c r="EG42" s="30">
        <v>0.27300000000000002</v>
      </c>
      <c r="EH42" s="30">
        <v>1.3125</v>
      </c>
      <c r="EI42" s="30">
        <v>29.21629641790712</v>
      </c>
      <c r="EJ42" s="30">
        <v>14.188507984773519</v>
      </c>
      <c r="EK42" s="30">
        <v>70.783703582092869</v>
      </c>
      <c r="EL42" s="30">
        <v>-1.74891297138253</v>
      </c>
      <c r="EM42" s="30">
        <v>-1.6278043825281521</v>
      </c>
      <c r="EN42" s="30">
        <v>0.16182317192792028</v>
      </c>
      <c r="EO42" s="30">
        <v>2.5</v>
      </c>
    </row>
    <row r="43" ht="14.25">
      <c r="A43" s="42" t="s">
        <v>138</v>
      </c>
      <c r="B43" s="52">
        <v>1</v>
      </c>
      <c r="C43" s="55">
        <v>8.0399999999999991</v>
      </c>
      <c r="D43" s="30">
        <v>0.55333333333333334</v>
      </c>
      <c r="E43" s="30">
        <v>0.69266666666666665</v>
      </c>
      <c r="F43" s="30">
        <v>1.2973333333333334</v>
      </c>
      <c r="G43" s="30">
        <v>0.051333333333333335</v>
      </c>
      <c r="H43" s="30">
        <v>10.6440028559011</v>
      </c>
      <c r="I43" s="30">
        <v>18.064869324604054</v>
      </c>
      <c r="J43" s="30">
        <v>0.28200000000000003</v>
      </c>
      <c r="K43" s="30">
        <v>51.338912554694453</v>
      </c>
      <c r="L43" s="30">
        <f>J43/F43</f>
        <v>0.21736896197327851</v>
      </c>
      <c r="M43" s="30">
        <v>-1.4711092927592273</v>
      </c>
      <c r="N43" s="31">
        <v>0.2088620893456255</v>
      </c>
      <c r="O43" s="30">
        <v>0.58800000000000008</v>
      </c>
      <c r="P43" s="30">
        <v>0.55133333333333345</v>
      </c>
      <c r="Q43" s="30">
        <v>1.2120000000000002</v>
      </c>
      <c r="R43" s="30">
        <v>0.072666666666666685</v>
      </c>
      <c r="S43" s="30">
        <v>10.659861032348021</v>
      </c>
      <c r="T43" s="30">
        <v>18.038122633368843</v>
      </c>
      <c r="U43" s="30">
        <v>0.31866666666666665</v>
      </c>
      <c r="V43" s="30">
        <v>54.249099231182967</v>
      </c>
      <c r="W43" s="30">
        <f>U43/Q43</f>
        <v>0.26292629262926287</v>
      </c>
      <c r="X43" s="30">
        <v>-1.4607811689991539</v>
      </c>
      <c r="Y43" s="31">
        <v>0.16892739176156518</v>
      </c>
      <c r="Z43" s="32">
        <f>F43-Q43</f>
        <v>0.085333333333333261</v>
      </c>
      <c r="AA43" s="30">
        <v>0.98399999999999999</v>
      </c>
      <c r="AB43" s="30">
        <v>1.9733333333333336</v>
      </c>
      <c r="AC43" s="30">
        <v>0.0080000000000000002</v>
      </c>
      <c r="AD43" s="30">
        <v>0.47733333333333339</v>
      </c>
      <c r="AE43" s="30">
        <v>0.5066666666666666</v>
      </c>
      <c r="AF43" s="30">
        <v>12.648504632069587</v>
      </c>
      <c r="AG43" s="30">
        <f>AF43/AA43</f>
        <v>12.854171374054458</v>
      </c>
      <c r="AH43" s="30">
        <v>-2.1517783435877673</v>
      </c>
      <c r="AI43" s="72">
        <f>(AE43/AA43)*100</f>
        <v>51.490514905149041</v>
      </c>
      <c r="AJ43" s="30">
        <v>0.95624999999999993</v>
      </c>
      <c r="AK43" s="30">
        <v>1.9027500000000002</v>
      </c>
      <c r="AL43" s="30">
        <v>0.018750000000000003</v>
      </c>
      <c r="AM43" s="30">
        <v>0.47399999999999998</v>
      </c>
      <c r="AN43" s="30">
        <v>0.48225000000000007</v>
      </c>
      <c r="AO43" s="30">
        <v>13.275940777191689</v>
      </c>
      <c r="AP43" s="30">
        <f>AN43/AJ43</f>
        <v>0.50431372549019615</v>
      </c>
      <c r="AQ43" s="30">
        <v>-2.1140245732222853</v>
      </c>
      <c r="AR43" s="45">
        <f>(AN43/AJ43)*100</f>
        <v>50.431372549019613</v>
      </c>
      <c r="AS43" s="46">
        <f>AJ43-AA43</f>
        <v>-0.027750000000000052</v>
      </c>
      <c r="AT43" s="46">
        <f>AN43-AE43</f>
        <v>-0.024416666666666531</v>
      </c>
      <c r="AU43" s="30">
        <v>0.44175145168779673</v>
      </c>
      <c r="AV43" s="30">
        <v>0.47616123576257524</v>
      </c>
      <c r="AW43" s="30">
        <v>0.45933850444786861</v>
      </c>
      <c r="AX43" s="31">
        <v>0.45935118647373285</v>
      </c>
      <c r="AY43" s="30">
        <v>1.1340000000000001</v>
      </c>
      <c r="AZ43" s="30">
        <v>0.60080000000000011</v>
      </c>
      <c r="BA43" s="30">
        <v>9.8433177103262945</v>
      </c>
      <c r="BB43" s="30">
        <v>9.0959217971347748</v>
      </c>
      <c r="BC43" s="39">
        <v>-2.039228367817151</v>
      </c>
      <c r="BD43" s="30">
        <v>2.1863999999999999</v>
      </c>
      <c r="BE43" s="30">
        <v>1.0512000000000001</v>
      </c>
      <c r="BF43" s="30">
        <v>19.478629382007504</v>
      </c>
      <c r="BG43" s="30">
        <v>8.9367569343176143</v>
      </c>
      <c r="BH43" s="39">
        <v>-2.2576465826443055</v>
      </c>
      <c r="BI43" s="30">
        <v>2.3712</v>
      </c>
      <c r="BJ43" s="30">
        <v>1.2647999999999999</v>
      </c>
      <c r="BK43" s="30">
        <v>28.670230212460933</v>
      </c>
      <c r="BL43" s="30">
        <v>12.267121254677352</v>
      </c>
      <c r="BM43" s="39">
        <v>-2.1487738459949761</v>
      </c>
      <c r="BN43" s="30">
        <v>1.7700000000000002</v>
      </c>
      <c r="BO43" s="30">
        <v>0.94320000000000004</v>
      </c>
      <c r="BP43" s="30">
        <v>36.723006214244649</v>
      </c>
      <c r="BQ43" s="30">
        <v>21.016714770341594</v>
      </c>
      <c r="BR43" s="39">
        <v>-2.0008722637005123</v>
      </c>
      <c r="BS43" s="30">
        <v>3.0743999999999998</v>
      </c>
      <c r="BT43" s="30">
        <v>1.6596</v>
      </c>
      <c r="BU43" s="30">
        <v>47.359504638168971</v>
      </c>
      <c r="BV43" s="30">
        <v>16.504339435838695</v>
      </c>
      <c r="BW43" s="39">
        <v>-2.1608827678080056</v>
      </c>
      <c r="BX43" s="49">
        <v>0.10595808873678975</v>
      </c>
      <c r="BY43" s="49">
        <v>0.50362117472663981</v>
      </c>
      <c r="BZ43" s="49">
        <v>0.31434897215978275</v>
      </c>
      <c r="CA43" s="30">
        <v>0.79225000000000012</v>
      </c>
      <c r="CB43" s="30">
        <v>0.495</v>
      </c>
      <c r="CC43" s="30">
        <v>0.29725000000000001</v>
      </c>
      <c r="CD43" s="30">
        <v>9.244693552140804</v>
      </c>
      <c r="CE43" s="30">
        <v>18.982082127920091</v>
      </c>
      <c r="CF43" s="30">
        <v>0.070250000000000007</v>
      </c>
      <c r="CG43" s="30">
        <v>3.201506833555638</v>
      </c>
      <c r="CH43" s="30">
        <v>0.21750000000000003</v>
      </c>
      <c r="CI43" s="30">
        <v>0.081000000000000003</v>
      </c>
      <c r="CJ43" s="30">
        <v>0.27749999999999997</v>
      </c>
      <c r="CK43" s="30">
        <v>44.533706188560046</v>
      </c>
      <c r="CL43" s="30">
        <v>16.310775645600287</v>
      </c>
      <c r="CM43" s="30">
        <v>55.466293811439947</v>
      </c>
      <c r="CN43" s="30">
        <v>-1.4158970097217887</v>
      </c>
      <c r="CO43" s="30">
        <v>-1.4417161919416692</v>
      </c>
      <c r="CP43" s="30">
        <v>0.11804375420601845</v>
      </c>
      <c r="CQ43" s="31">
        <v>0</v>
      </c>
      <c r="CR43" s="30">
        <v>1.0415000000000001</v>
      </c>
      <c r="CS43" s="30">
        <v>0.77700000000000002</v>
      </c>
      <c r="CT43" s="30">
        <v>0.26450000000000001</v>
      </c>
      <c r="CU43" s="30">
        <v>17.178670099194282</v>
      </c>
      <c r="CV43" s="30">
        <v>22.556193910172134</v>
      </c>
      <c r="CW43" s="30">
        <v>0.028000000000000004</v>
      </c>
      <c r="CX43" s="30">
        <v>4.0811289800178203</v>
      </c>
      <c r="CY43" s="30">
        <v>0.40200000000000002</v>
      </c>
      <c r="CZ43" s="30">
        <v>0.11700000000000002</v>
      </c>
      <c r="DA43" s="30">
        <v>0.375</v>
      </c>
      <c r="DB43" s="30">
        <v>53.032498042403532</v>
      </c>
      <c r="DC43" s="30">
        <v>14.944963774199994</v>
      </c>
      <c r="DD43" s="30">
        <v>46.967501957596461</v>
      </c>
      <c r="DE43" s="30">
        <v>-1.5084608556368291</v>
      </c>
      <c r="DF43" s="30">
        <v>-1.6004263000559735</v>
      </c>
      <c r="DG43" s="30">
        <v>0.19537328280423089</v>
      </c>
      <c r="DH43" s="30">
        <v>0.5</v>
      </c>
      <c r="DI43" s="30">
        <v>0.97475000000000001</v>
      </c>
      <c r="DJ43" s="30">
        <v>0.77000000000000002</v>
      </c>
      <c r="DK43" s="30">
        <v>0.24875000000000008</v>
      </c>
      <c r="DL43" s="30">
        <v>8.9028613183955532</v>
      </c>
      <c r="DM43" s="30">
        <v>11.666615640629303</v>
      </c>
      <c r="DN43" s="30">
        <v>0.061750000000000006</v>
      </c>
      <c r="DO43" s="30">
        <v>5.1749284538425249</v>
      </c>
      <c r="DP43" s="30">
        <v>0.29400000000000004</v>
      </c>
      <c r="DQ43" s="30">
        <v>0.14100000000000001</v>
      </c>
      <c r="DR43" s="30">
        <v>0.46600000000000003</v>
      </c>
      <c r="DS43" s="30">
        <v>40.845127095127097</v>
      </c>
      <c r="DT43" s="30">
        <v>19.384122821622817</v>
      </c>
      <c r="DU43" s="30">
        <v>59.154872904872903</v>
      </c>
      <c r="DV43" s="30">
        <v>-1.4396699251682068</v>
      </c>
      <c r="DW43" s="30">
        <v>-1.4932258007336174</v>
      </c>
      <c r="DX43" s="30">
        <v>0.11819242532774388</v>
      </c>
      <c r="DY43" s="30">
        <v>0.25</v>
      </c>
      <c r="DZ43" s="30">
        <v>1.1715000000000002</v>
      </c>
      <c r="EA43" s="30">
        <v>0.80249999999999999</v>
      </c>
      <c r="EB43" s="30">
        <v>0.36899999999999999</v>
      </c>
      <c r="EC43" s="30">
        <v>17.134754874653815</v>
      </c>
      <c r="ED43" s="30">
        <v>21.442909525716008</v>
      </c>
      <c r="EE43" s="30">
        <v>0.051000000000000004</v>
      </c>
      <c r="EF43" s="30">
        <v>0.26100000000000001</v>
      </c>
      <c r="EG43" s="30">
        <v>0.097500000000000003</v>
      </c>
      <c r="EH43" s="30">
        <v>0.54149999999999998</v>
      </c>
      <c r="EI43" s="30">
        <v>32.625716746120823</v>
      </c>
      <c r="EJ43" s="30">
        <v>12.154059074335741</v>
      </c>
      <c r="EK43" s="30">
        <v>67.374283253879184</v>
      </c>
      <c r="EL43" s="30">
        <v>-1.4200851896711517</v>
      </c>
      <c r="EM43" s="30">
        <v>-1.4803195443901944</v>
      </c>
      <c r="EN43" s="30">
        <v>0.14911066501949297</v>
      </c>
      <c r="EO43" s="30">
        <v>0.5</v>
      </c>
    </row>
    <row r="44" ht="14.25">
      <c r="A44" s="43" t="s">
        <v>139</v>
      </c>
      <c r="B44" s="43">
        <v>1</v>
      </c>
      <c r="C44" s="55">
        <v>8.0500000000000007</v>
      </c>
      <c r="D44" s="30">
        <v>0.72359999999999991</v>
      </c>
      <c r="E44" s="30">
        <v>1.0152000000000001</v>
      </c>
      <c r="F44" s="30">
        <v>1.8936000000000004</v>
      </c>
      <c r="G44" s="30">
        <v>0.15479999999999999</v>
      </c>
      <c r="H44" s="30">
        <v>10.386224391476096</v>
      </c>
      <c r="I44" s="30">
        <v>17.269616515561896</v>
      </c>
      <c r="J44" s="30">
        <v>0.31920000000000004</v>
      </c>
      <c r="K44" s="30">
        <v>43.711823601649662</v>
      </c>
      <c r="L44" s="30">
        <f>J44/F44</f>
        <v>0.16856780735107729</v>
      </c>
      <c r="M44" s="30">
        <v>-1.4593410351128566</v>
      </c>
      <c r="N44" s="31">
        <v>0.18008884628484995</v>
      </c>
      <c r="O44" s="30">
        <v>0.69179999999999997</v>
      </c>
      <c r="P44" s="30">
        <v>0.65700000000000003</v>
      </c>
      <c r="Q44" s="30">
        <v>1.4010000000000002</v>
      </c>
      <c r="R44" s="30">
        <v>0.052200000000000003</v>
      </c>
      <c r="S44" s="30">
        <v>10.624634474771334</v>
      </c>
      <c r="T44" s="30">
        <v>17.083459109747317</v>
      </c>
      <c r="U44" s="30">
        <v>0.3246</v>
      </c>
      <c r="V44" s="30">
        <v>48.213666354314554</v>
      </c>
      <c r="W44" s="30">
        <f>U44/Q44</f>
        <v>0.23169164882226978</v>
      </c>
      <c r="X44" s="30">
        <v>-1.5012589401866703</v>
      </c>
      <c r="Y44" s="31">
        <v>0.21811335669967344</v>
      </c>
      <c r="Z44" s="32">
        <f>F44-Q44</f>
        <v>0.49260000000000015</v>
      </c>
      <c r="AA44" s="30">
        <v>5.6520000000000001</v>
      </c>
      <c r="AB44" s="30">
        <v>11.972999999999999</v>
      </c>
      <c r="AC44" s="30">
        <v>0.19950000000000001</v>
      </c>
      <c r="AD44" s="30">
        <v>2.9662500000000005</v>
      </c>
      <c r="AE44" s="30">
        <v>2.6857500000000001</v>
      </c>
      <c r="AF44" s="30">
        <v>11.357699159222307</v>
      </c>
      <c r="AG44" s="30">
        <f>AF44/AA44</f>
        <v>2.0095009128135715</v>
      </c>
      <c r="AH44" s="30">
        <v>-2.9508346787824542</v>
      </c>
      <c r="AI44" s="72">
        <f>(AE44/AA44)*100</f>
        <v>47.518577494692146</v>
      </c>
      <c r="AJ44" s="30">
        <v>5.8994999999999997</v>
      </c>
      <c r="AK44" s="30">
        <v>10.866000000000001</v>
      </c>
      <c r="AL44" s="30">
        <v>0.075000000000000011</v>
      </c>
      <c r="AM44" s="30">
        <v>2.9580000000000002</v>
      </c>
      <c r="AN44" s="30">
        <v>2.9415</v>
      </c>
      <c r="AO44" s="30">
        <v>11.840259619210341</v>
      </c>
      <c r="AP44" s="30">
        <f>AN44/AJ44</f>
        <v>0.49860157640478009</v>
      </c>
      <c r="AQ44" s="30">
        <v>-3.1698795720844792</v>
      </c>
      <c r="AR44" s="45">
        <f>(AN44/AJ44)*100</f>
        <v>49.860157640478008</v>
      </c>
      <c r="AS44" s="46">
        <f>AJ44-AA44</f>
        <v>0.24749999999999961</v>
      </c>
      <c r="AT44" s="46">
        <f>AN44-AE44</f>
        <v>0.25574999999999992</v>
      </c>
      <c r="AU44" s="30">
        <v>4.0264540837549667</v>
      </c>
      <c r="AV44" s="30">
        <v>0.15620599265353188</v>
      </c>
      <c r="AW44" s="30">
        <v>0.053439761249377216</v>
      </c>
      <c r="AX44" s="31">
        <v>0.053455921915353338</v>
      </c>
      <c r="AY44" s="30">
        <v>4.8399999999999999</v>
      </c>
      <c r="AZ44" s="30">
        <v>3.8559999999999999</v>
      </c>
      <c r="BA44" s="30">
        <v>6.8467669381595622</v>
      </c>
      <c r="BB44" s="30">
        <v>1.5383481748771219</v>
      </c>
      <c r="BC44" s="39">
        <v>-3.3077363667046891</v>
      </c>
      <c r="BD44" s="30">
        <v>7.9889999999999999</v>
      </c>
      <c r="BE44" s="30">
        <v>4.3380000000000001</v>
      </c>
      <c r="BF44" s="30">
        <v>20.187136922289501</v>
      </c>
      <c r="BG44" s="30">
        <v>2.9186065010350375</v>
      </c>
      <c r="BH44" s="39">
        <v>-3.2253768002174574</v>
      </c>
      <c r="BI44" s="30">
        <v>3.8400000000000003</v>
      </c>
      <c r="BJ44" s="30">
        <v>1.8360000000000001</v>
      </c>
      <c r="BK44" s="30">
        <v>29.104846417832945</v>
      </c>
      <c r="BL44" s="30">
        <v>7.7386604559278842</v>
      </c>
      <c r="BM44" s="39">
        <v>-2.6624682785178733</v>
      </c>
      <c r="BN44" s="30">
        <v>8.9939999999999998</v>
      </c>
      <c r="BO44" s="30">
        <v>4.6965000000000003</v>
      </c>
      <c r="BP44" s="30">
        <v>38.245044079196902</v>
      </c>
      <c r="BQ44" s="30">
        <v>4.34221740412519</v>
      </c>
      <c r="BR44" s="39">
        <v>-3.2146574604164107</v>
      </c>
      <c r="BS44" s="30">
        <v>7.1820000000000013</v>
      </c>
      <c r="BT44" s="30">
        <v>3.9570000000000007</v>
      </c>
      <c r="BU44" s="30">
        <v>47.75978831769909</v>
      </c>
      <c r="BV44" s="30">
        <v>6.7765110878418584</v>
      </c>
      <c r="BW44" s="39">
        <v>-2.7929789325414571</v>
      </c>
      <c r="BX44" s="30">
        <v>0.11079065793856334</v>
      </c>
      <c r="BY44" s="30">
        <v>0.91958094252016143</v>
      </c>
      <c r="BZ44" s="30">
        <v>0.083320479419963456</v>
      </c>
      <c r="CA44" s="30">
        <v>1.23275</v>
      </c>
      <c r="CB44" s="30">
        <v>0.88800000000000012</v>
      </c>
      <c r="CC44" s="30">
        <v>0.34475</v>
      </c>
      <c r="CD44" s="30">
        <v>8.354203875886526</v>
      </c>
      <c r="CE44" s="30">
        <v>11.740688298108452</v>
      </c>
      <c r="CF44" s="30">
        <v>0.060250000000000005</v>
      </c>
      <c r="CG44" s="30">
        <v>3.0477179559090803</v>
      </c>
      <c r="CH44" s="30">
        <v>0.48900000000000005</v>
      </c>
      <c r="CI44" s="30">
        <v>0.36299999999999999</v>
      </c>
      <c r="CJ44" s="30">
        <v>0.39900000000000008</v>
      </c>
      <c r="CK44" s="30">
        <v>55.41930475282804</v>
      </c>
      <c r="CL44" s="30">
        <v>34.442885434606119</v>
      </c>
      <c r="CM44" s="30">
        <v>44.58069524717196</v>
      </c>
      <c r="CN44" s="30">
        <v>-1.6961878949190592</v>
      </c>
      <c r="CO44" s="30">
        <v>-1.6308322872919283</v>
      </c>
      <c r="CP44" s="30">
        <v>0.12139939014541043</v>
      </c>
      <c r="CQ44" s="31">
        <v>0.5</v>
      </c>
      <c r="CR44" s="30">
        <v>1.2982500000000001</v>
      </c>
      <c r="CS44" s="30">
        <v>0.873</v>
      </c>
      <c r="CT44" s="30">
        <v>0.42525000000000002</v>
      </c>
      <c r="CU44" s="30">
        <v>16.40636660356607</v>
      </c>
      <c r="CV44" s="30">
        <v>19.081837914432235</v>
      </c>
      <c r="CW44" s="30">
        <v>0.056250000000000001</v>
      </c>
      <c r="CX44" s="30">
        <v>4.0290444874925804</v>
      </c>
      <c r="CY44" s="30">
        <v>0.54000000000000004</v>
      </c>
      <c r="CZ44" s="30">
        <v>0.16350000000000001</v>
      </c>
      <c r="DA44" s="30">
        <v>0.33300000000000002</v>
      </c>
      <c r="DB44" s="30">
        <v>61.212169289195671</v>
      </c>
      <c r="DC44" s="30">
        <v>18.283733653396283</v>
      </c>
      <c r="DD44" s="30">
        <v>38.787830710804322</v>
      </c>
      <c r="DE44" s="30">
        <v>-1.7110473983891012</v>
      </c>
      <c r="DF44" s="30">
        <v>-1.7315047146679099</v>
      </c>
      <c r="DG44" s="30">
        <v>0.19248828045588912</v>
      </c>
      <c r="DH44" s="30">
        <v>0.25</v>
      </c>
      <c r="DI44" s="30">
        <v>1.6777500000000001</v>
      </c>
      <c r="DJ44" s="30">
        <v>1.9560000000000002</v>
      </c>
      <c r="DK44" s="30">
        <v>0.13724999999999998</v>
      </c>
      <c r="DL44" s="30">
        <v>9.2928362406669915</v>
      </c>
      <c r="DM44" s="30">
        <v>4.8078575502982019</v>
      </c>
      <c r="DN44" s="30">
        <v>0.068250000000000005</v>
      </c>
      <c r="DO44" s="30">
        <v>5.1560581129673571</v>
      </c>
      <c r="DP44" s="30">
        <v>0.44400000000000006</v>
      </c>
      <c r="DQ44" s="30">
        <v>0.32250000000000001</v>
      </c>
      <c r="DR44" s="30">
        <v>1.5450000000000002</v>
      </c>
      <c r="DS44" s="30">
        <v>31.597203158983888</v>
      </c>
      <c r="DT44" s="30">
        <v>21.577743258652362</v>
      </c>
      <c r="DU44" s="30">
        <v>68.402796841016112</v>
      </c>
      <c r="DV44" s="30">
        <v>-1.7818470360453484</v>
      </c>
      <c r="DW44" s="30">
        <v>-1.7190407256984161</v>
      </c>
      <c r="DX44" s="30">
        <v>0.15834552575087379</v>
      </c>
      <c r="DY44" s="30">
        <v>3.5</v>
      </c>
      <c r="DZ44" s="30">
        <v>1.4760000000000002</v>
      </c>
      <c r="EA44" s="30">
        <v>1.1520000000000001</v>
      </c>
      <c r="EB44" s="30">
        <v>0.32400000000000001</v>
      </c>
      <c r="EC44" s="30">
        <v>17.303989910502604</v>
      </c>
      <c r="ED44" s="30">
        <v>15.146773134796542</v>
      </c>
      <c r="EE44" s="30">
        <v>0.072750000000000009</v>
      </c>
      <c r="EF44" s="30">
        <v>0.48399999999999999</v>
      </c>
      <c r="EG44" s="30">
        <v>0.308</v>
      </c>
      <c r="EH44" s="30">
        <v>0.66800000000000015</v>
      </c>
      <c r="EI44" s="30">
        <v>40.829541086676002</v>
      </c>
      <c r="EJ44" s="30">
        <v>25.441856793784144</v>
      </c>
      <c r="EK44" s="30">
        <v>59.170458913324005</v>
      </c>
      <c r="EL44" s="30">
        <v>-1.5078724342709642</v>
      </c>
      <c r="EM44" s="30">
        <v>-1.5969373622830834</v>
      </c>
      <c r="EN44" s="30">
        <v>0.37199088221513771</v>
      </c>
      <c r="EO44" s="30">
        <v>1</v>
      </c>
    </row>
    <row r="45" ht="14.25">
      <c r="A45" s="42" t="s">
        <v>138</v>
      </c>
      <c r="B45" s="52">
        <v>1</v>
      </c>
      <c r="C45" s="55">
        <v>8.0600000000000005</v>
      </c>
      <c r="D45" s="30">
        <v>0.66133333333333333</v>
      </c>
      <c r="E45" s="30">
        <v>1.0766666666666669</v>
      </c>
      <c r="F45" s="30">
        <v>1.7526666666666668</v>
      </c>
      <c r="G45" s="30">
        <v>0.014666666666666668</v>
      </c>
      <c r="H45" s="30">
        <v>10.153857130121459</v>
      </c>
      <c r="I45" s="30">
        <v>18.105064683822921</v>
      </c>
      <c r="J45" s="30">
        <v>0.29600000000000004</v>
      </c>
      <c r="K45" s="30">
        <v>45.015401604229183</v>
      </c>
      <c r="L45" s="30">
        <f>J45/F45</f>
        <v>0.16888550779764169</v>
      </c>
      <c r="M45" s="30">
        <v>-1.5216762306421208</v>
      </c>
      <c r="N45" s="31">
        <v>0.15789623204605971</v>
      </c>
      <c r="O45" s="30">
        <v>0.55666666666666687</v>
      </c>
      <c r="P45" s="30">
        <v>0.70333333333333359</v>
      </c>
      <c r="Q45" s="30">
        <v>1.276</v>
      </c>
      <c r="R45" s="30">
        <v>0.016</v>
      </c>
      <c r="S45" s="30">
        <v>10.520751365810753</v>
      </c>
      <c r="T45" s="30">
        <v>17.730443024603474</v>
      </c>
      <c r="U45" s="30">
        <v>0.24466666666666667</v>
      </c>
      <c r="V45" s="30">
        <v>43.728408616247478</v>
      </c>
      <c r="W45" s="30">
        <f>U45/Q45</f>
        <v>0.19174503657262279</v>
      </c>
      <c r="X45" s="30">
        <v>-1.5020479633184844</v>
      </c>
      <c r="Y45" s="31">
        <v>0.13738061934851378</v>
      </c>
      <c r="Z45" s="32">
        <f>F45-Q45</f>
        <v>0.47666666666666679</v>
      </c>
      <c r="AA45" s="30">
        <v>2.4516000000000004</v>
      </c>
      <c r="AB45" s="30">
        <v>5.1372000000000009</v>
      </c>
      <c r="AC45" s="30">
        <v>0.0096000000000000009</v>
      </c>
      <c r="AD45" s="30">
        <v>1.3428000000000002</v>
      </c>
      <c r="AE45" s="30">
        <v>1.1088</v>
      </c>
      <c r="AF45" s="30">
        <v>11.952523689169281</v>
      </c>
      <c r="AG45" s="30">
        <f>AF45/AA45</f>
        <v>4.8753971647778096</v>
      </c>
      <c r="AH45" s="30">
        <v>-2.294574532015679</v>
      </c>
      <c r="AI45" s="72">
        <f>(AE45/AA45)*100</f>
        <v>45.22760646108663</v>
      </c>
      <c r="AJ45" s="30">
        <v>2.4186666666666667</v>
      </c>
      <c r="AK45" s="30">
        <v>4.2906666666666666</v>
      </c>
      <c r="AL45" s="30">
        <v>0.036666666666666674</v>
      </c>
      <c r="AM45" s="30">
        <v>1.2766666666666668</v>
      </c>
      <c r="AN45" s="30">
        <v>1.1420000000000001</v>
      </c>
      <c r="AO45" s="30">
        <v>12.002935420451152</v>
      </c>
      <c r="AP45" s="30">
        <f>AN45/AJ45</f>
        <v>0.47216097023153258</v>
      </c>
      <c r="AQ45" s="30">
        <v>-2.4875474789328877</v>
      </c>
      <c r="AR45" s="45">
        <f>(AN45/AJ45)*100</f>
        <v>47.21609702315326</v>
      </c>
      <c r="AS45" s="46">
        <f>AJ45-AA45</f>
        <v>-0.032933333333333703</v>
      </c>
      <c r="AT45" s="46">
        <f>AN45-AE45</f>
        <v>0.033200000000000118</v>
      </c>
      <c r="AU45" s="30">
        <v>1.7440174003268232</v>
      </c>
      <c r="AV45" s="30">
        <v>0.32121358854971832</v>
      </c>
      <c r="AW45" s="30">
        <v>0.50122536722557443</v>
      </c>
      <c r="AX45" s="31">
        <v>0.5013040468664185</v>
      </c>
      <c r="AY45" s="30">
        <v>3.8988</v>
      </c>
      <c r="AZ45" s="30">
        <v>1.7704000000000004</v>
      </c>
      <c r="BA45" s="30">
        <v>10.287574223254666</v>
      </c>
      <c r="BB45" s="30">
        <v>2.6731192386955431</v>
      </c>
      <c r="BC45" s="39">
        <v>-2.4508912373761937</v>
      </c>
      <c r="BD45" s="30">
        <v>4.2765000000000004</v>
      </c>
      <c r="BE45" s="30">
        <v>2.0790000000000002</v>
      </c>
      <c r="BF45" s="30">
        <v>20.407833267045987</v>
      </c>
      <c r="BG45" s="30">
        <v>4.793535801076982</v>
      </c>
      <c r="BH45" s="39">
        <v>-2.310072323143455</v>
      </c>
      <c r="BI45" s="30">
        <v>4.6463999999999999</v>
      </c>
      <c r="BJ45" s="30">
        <v>2.1636000000000002</v>
      </c>
      <c r="BK45" s="30">
        <v>30.098145906689304</v>
      </c>
      <c r="BL45" s="30">
        <v>6.5293330258039193</v>
      </c>
      <c r="BM45" s="39">
        <v>-2.2691213514306154</v>
      </c>
      <c r="BN45" s="30">
        <v>6.5448000000000004</v>
      </c>
      <c r="BO45" s="30">
        <v>2.9004000000000003</v>
      </c>
      <c r="BP45" s="30">
        <v>38.646187549655465</v>
      </c>
      <c r="BQ45" s="30">
        <v>6.0386519788144666</v>
      </c>
      <c r="BR45" s="39">
        <v>-2.3175868087802893</v>
      </c>
      <c r="BS45" s="30">
        <v>5.7923999999999998</v>
      </c>
      <c r="BT45" s="30">
        <v>2.7156000000000002</v>
      </c>
      <c r="BU45" s="30">
        <v>48.963744208736543</v>
      </c>
      <c r="BV45" s="30">
        <v>8.6100265427494183</v>
      </c>
      <c r="BW45" s="39">
        <v>-2.1866073741024481</v>
      </c>
      <c r="BX45" s="49">
        <v>-0.035215490887100617</v>
      </c>
      <c r="BY45" s="49">
        <v>1.4679901153277468</v>
      </c>
      <c r="BZ45" s="49">
        <v>0.015699193032976955</v>
      </c>
      <c r="CA45" s="30">
        <v>0.98575000000000013</v>
      </c>
      <c r="CB45" s="30">
        <v>0.69300000000000006</v>
      </c>
      <c r="CC45" s="30">
        <v>0.29275000000000007</v>
      </c>
      <c r="CD45" s="30">
        <v>8.5316252916620243</v>
      </c>
      <c r="CE45" s="30">
        <v>12.396426290054187</v>
      </c>
      <c r="CF45" s="30">
        <v>0.050749999999999997</v>
      </c>
      <c r="CG45" s="30">
        <v>3.0869456365173571</v>
      </c>
      <c r="CH45" s="30">
        <v>0.29100000000000004</v>
      </c>
      <c r="CI45" s="30">
        <v>0.16800000000000001</v>
      </c>
      <c r="CJ45" s="30">
        <v>0.40199999999999997</v>
      </c>
      <c r="CK45" s="30">
        <v>42.251798855802669</v>
      </c>
      <c r="CL45" s="30">
        <v>24.326857868722378</v>
      </c>
      <c r="CM45" s="30">
        <v>57.748201144197331</v>
      </c>
      <c r="CN45" s="30">
        <v>-1.4464245029443004</v>
      </c>
      <c r="CO45" s="30">
        <v>-1.4922481747497744</v>
      </c>
      <c r="CP45" s="30">
        <v>0.080745502180308446</v>
      </c>
      <c r="CQ45" s="31">
        <v>0.25</v>
      </c>
      <c r="CR45" s="30">
        <v>1.20675</v>
      </c>
      <c r="CS45" s="30">
        <v>0.85950000000000004</v>
      </c>
      <c r="CT45" s="30">
        <v>0.34725000000000006</v>
      </c>
      <c r="CU45" s="30">
        <v>16.52449143531312</v>
      </c>
      <c r="CV45" s="30">
        <v>19.413388386798992</v>
      </c>
      <c r="CW45" s="30">
        <v>0.057750000000000003</v>
      </c>
      <c r="CX45" s="30">
        <v>4.0393768341419225</v>
      </c>
      <c r="CY45" s="30">
        <v>0.35550000000000004</v>
      </c>
      <c r="CZ45" s="30">
        <v>0.087000000000000008</v>
      </c>
      <c r="DA45" s="30">
        <v>0.504</v>
      </c>
      <c r="DB45" s="30">
        <v>41.753684028511593</v>
      </c>
      <c r="DC45" s="30">
        <v>10.280510730855598</v>
      </c>
      <c r="DD45" s="30">
        <v>58.246315971488414</v>
      </c>
      <c r="DE45" s="30">
        <v>-1.5165917580041275</v>
      </c>
      <c r="DF45" s="30">
        <v>-1.5945604460550566</v>
      </c>
      <c r="DG45" s="30">
        <v>0.16998486146841474</v>
      </c>
      <c r="DH45" s="30">
        <v>0.25</v>
      </c>
      <c r="DI45" s="30">
        <v>1.5482500000000001</v>
      </c>
      <c r="DJ45" s="30">
        <v>0.84799999999999998</v>
      </c>
      <c r="DK45" s="30">
        <v>0.34525</v>
      </c>
      <c r="DL45" s="30">
        <v>8.6482275265074477</v>
      </c>
      <c r="DM45" s="30">
        <v>10.224076977281031</v>
      </c>
      <c r="DN45" s="30">
        <v>0.080750000000000002</v>
      </c>
      <c r="DO45" s="30">
        <v>3.9995022629257924</v>
      </c>
      <c r="DP45" s="30">
        <v>0.23999999999999999</v>
      </c>
      <c r="DQ45" s="30">
        <v>0.34050000000000008</v>
      </c>
      <c r="DR45" s="30">
        <v>0.63400000000000001</v>
      </c>
      <c r="DS45" s="30">
        <v>22.549940131280415</v>
      </c>
      <c r="DT45" s="30">
        <v>19.917545253662134</v>
      </c>
      <c r="DU45" s="30">
        <v>77.450059868719578</v>
      </c>
      <c r="DV45" s="30">
        <v>-1.6687413157169111</v>
      </c>
      <c r="DW45" s="30">
        <v>-1.4685266226006091</v>
      </c>
      <c r="DX45" s="30">
        <v>0.89741447072693836</v>
      </c>
      <c r="DY45" s="30">
        <v>2.75</v>
      </c>
      <c r="DZ45" s="30">
        <v>1.5260000000000002</v>
      </c>
      <c r="EA45" s="30">
        <v>1.1234999999999999</v>
      </c>
      <c r="EB45" s="30">
        <v>0.40250000000000002</v>
      </c>
      <c r="EC45" s="30">
        <v>16.731303199566682</v>
      </c>
      <c r="ED45" s="30">
        <v>15.04248934874675</v>
      </c>
      <c r="EE45" s="30">
        <v>0.0385</v>
      </c>
      <c r="EF45" s="30">
        <v>0.36899999999999999</v>
      </c>
      <c r="EG45" s="30">
        <v>0.099000000000000005</v>
      </c>
      <c r="EH45" s="30">
        <v>0.75450000000000006</v>
      </c>
      <c r="EI45" s="30">
        <v>33.58115517575709</v>
      </c>
      <c r="EJ45" s="30">
        <v>9.0452823222727545</v>
      </c>
      <c r="EK45" s="30">
        <v>66.41884482424291</v>
      </c>
      <c r="EL45" s="30">
        <v>-1.5089206136532369</v>
      </c>
      <c r="EM45" s="30">
        <v>-1.6074197042892546</v>
      </c>
      <c r="EN45" s="30">
        <v>0.12153085349674775</v>
      </c>
      <c r="EO45" s="30">
        <v>1.5</v>
      </c>
    </row>
    <row r="46" ht="14.25">
      <c r="A46" s="42" t="s">
        <v>139</v>
      </c>
      <c r="B46" s="43">
        <v>2</v>
      </c>
      <c r="C46" s="43">
        <v>8.0800000000000001</v>
      </c>
      <c r="D46" s="30">
        <v>1.1086666666666669</v>
      </c>
      <c r="E46" s="30">
        <v>1.7833333333333334</v>
      </c>
      <c r="F46" s="30">
        <v>2.8959999999999999</v>
      </c>
      <c r="G46" s="30">
        <v>0.0040000000000000001</v>
      </c>
      <c r="H46" s="30">
        <v>10.790191530041881</v>
      </c>
      <c r="I46" s="30">
        <v>17.80245534243031</v>
      </c>
      <c r="J46" s="30">
        <v>0.68400000000000005</v>
      </c>
      <c r="K46" s="30">
        <v>61.385944796102649</v>
      </c>
      <c r="L46" s="30">
        <f>J46/F46</f>
        <v>0.23618784530386744</v>
      </c>
      <c r="M46" s="30">
        <v>-1.6548825792093047</v>
      </c>
      <c r="N46" s="31">
        <v>0.13071621572555048</v>
      </c>
      <c r="O46" s="30">
        <v>0.96933333333333338</v>
      </c>
      <c r="P46" s="30">
        <v>1.0360000000000003</v>
      </c>
      <c r="Q46" s="30">
        <v>2.0120000000000005</v>
      </c>
      <c r="R46" s="30">
        <v>0.0066666666666666671</v>
      </c>
      <c r="S46" s="30">
        <v>10.339086513165816</v>
      </c>
      <c r="T46" s="30">
        <v>16.805634119760423</v>
      </c>
      <c r="U46" s="30">
        <v>0.58133333333333348</v>
      </c>
      <c r="V46" s="30">
        <v>59.404185486064677</v>
      </c>
      <c r="W46" s="30">
        <f>U46/Q46</f>
        <v>0.28893306825712395</v>
      </c>
      <c r="X46" s="30">
        <v>-1.5911041655011886</v>
      </c>
      <c r="Y46" s="31">
        <v>0.12551961044978016</v>
      </c>
      <c r="Z46" s="32">
        <f>F46-Q46</f>
        <v>0.88399999999999945</v>
      </c>
      <c r="AA46" s="30">
        <v>3.1100000000000008</v>
      </c>
      <c r="AB46" s="30">
        <v>5.7614000000000001</v>
      </c>
      <c r="AC46" s="30">
        <v>0.013000000000000001</v>
      </c>
      <c r="AD46" s="30">
        <v>1.8200000000000003</v>
      </c>
      <c r="AE46" s="30">
        <v>1.2900000000000003</v>
      </c>
      <c r="AF46" s="30">
        <v>11.455092727918581</v>
      </c>
      <c r="AG46" s="30">
        <f>AF46/AA46</f>
        <v>3.683309558816263</v>
      </c>
      <c r="AH46" s="30">
        <v>-2.4132750855746119</v>
      </c>
      <c r="AI46" s="72">
        <f>(AE46/AA46)*100</f>
        <v>41.479099678456585</v>
      </c>
      <c r="AJ46" s="30">
        <v>2.8644000000000003</v>
      </c>
      <c r="AK46" s="30">
        <v>4.741200000000001</v>
      </c>
      <c r="AL46" s="30">
        <v>0.016800000000000002</v>
      </c>
      <c r="AM46" s="30">
        <v>1.6295999999999999</v>
      </c>
      <c r="AN46" s="30">
        <v>1.2348000000000001</v>
      </c>
      <c r="AO46" s="30">
        <v>11.314738722955363</v>
      </c>
      <c r="AP46" s="30">
        <f>AN46/AJ46</f>
        <v>0.4310850439882698</v>
      </c>
      <c r="AQ46" s="30">
        <v>-2.3543334435457135</v>
      </c>
      <c r="AR46" s="45">
        <f>(AN46/AJ46)*100</f>
        <v>43.10850439882698</v>
      </c>
      <c r="AS46" s="46">
        <f>AJ46-AA46</f>
        <v>-0.24560000000000048</v>
      </c>
      <c r="AT46" s="46">
        <f>AN46-AE46</f>
        <v>-0.055200000000000138</v>
      </c>
      <c r="AU46" s="30">
        <v>1.611882862677098</v>
      </c>
      <c r="AV46" s="30">
        <v>0.51613750905606737</v>
      </c>
      <c r="AW46" s="30">
        <v>0.86662904994697654</v>
      </c>
      <c r="AX46" s="31">
        <v>0.86689673325721006</v>
      </c>
      <c r="AY46" s="30">
        <v>5.3040000000000003</v>
      </c>
      <c r="AZ46" s="30">
        <v>2.9264000000000001</v>
      </c>
      <c r="BA46" s="30">
        <v>9.3509881646495341</v>
      </c>
      <c r="BB46" s="30">
        <v>1.7697825383306587</v>
      </c>
      <c r="BC46" s="39">
        <v>-2.7290035578565877</v>
      </c>
      <c r="BD46" s="30">
        <v>7.7424000000000008</v>
      </c>
      <c r="BE46" s="30">
        <v>3.8028000000000004</v>
      </c>
      <c r="BF46" s="30">
        <v>18.976401814149227</v>
      </c>
      <c r="BG46" s="30">
        <v>2.470418999577908</v>
      </c>
      <c r="BH46" s="39">
        <v>-2.9978629049548942</v>
      </c>
      <c r="BI46" s="30">
        <v>8.4959999999999987</v>
      </c>
      <c r="BJ46" s="30">
        <v>4.056</v>
      </c>
      <c r="BK46" s="30">
        <v>28.050060446860869</v>
      </c>
      <c r="BL46" s="30">
        <v>3.307191532591113</v>
      </c>
      <c r="BM46" s="39">
        <v>-2.9881454290866891</v>
      </c>
      <c r="BN46" s="30">
        <v>9.8064</v>
      </c>
      <c r="BO46" s="30">
        <v>5.2032000000000007</v>
      </c>
      <c r="BP46" s="30">
        <v>38.152614517388095</v>
      </c>
      <c r="BQ46" s="30">
        <v>3.9211971072563259</v>
      </c>
      <c r="BR46" s="39">
        <v>-2.7901742482998677</v>
      </c>
      <c r="BS46" s="30">
        <v>12.572400000000002</v>
      </c>
      <c r="BT46" s="30">
        <v>6.0564</v>
      </c>
      <c r="BU46" s="30">
        <v>47.539254887811708</v>
      </c>
      <c r="BV46" s="30">
        <v>3.8078408766852085</v>
      </c>
      <c r="BW46" s="39">
        <v>-2.8325121151950978</v>
      </c>
      <c r="BX46" s="30">
        <v>0.27295867352928255</v>
      </c>
      <c r="BY46" s="30">
        <v>0.0089809844065871867</v>
      </c>
      <c r="BZ46" s="30">
        <v>0.60282134411595201</v>
      </c>
      <c r="CA46" s="30">
        <v>0.84250000000000003</v>
      </c>
      <c r="CB46" s="30">
        <v>0.7589999999999999</v>
      </c>
      <c r="CC46" s="30">
        <v>0.083499999999999991</v>
      </c>
      <c r="CD46" s="30">
        <v>8.5734009614805089</v>
      </c>
      <c r="CE46" s="30">
        <v>11.419294243441348</v>
      </c>
      <c r="CF46" s="30">
        <v>0.044000000000000004</v>
      </c>
      <c r="CG46" s="30">
        <v>3.0903966615535525</v>
      </c>
      <c r="CH46" s="30">
        <v>0.42000000000000004</v>
      </c>
      <c r="CI46" s="30">
        <v>0.34350000000000003</v>
      </c>
      <c r="CJ46" s="30">
        <v>0.33899999999999997</v>
      </c>
      <c r="CK46" s="30">
        <v>54.514497417095711</v>
      </c>
      <c r="CL46" s="30">
        <v>44.158544530541249</v>
      </c>
      <c r="CM46" s="30">
        <v>45.485502582904296</v>
      </c>
      <c r="CN46" s="30">
        <v>-1.6235597827721502</v>
      </c>
      <c r="CO46" s="30">
        <v>-1.6822744722438059</v>
      </c>
      <c r="CP46" s="30">
        <v>0.13080695329986203</v>
      </c>
      <c r="CQ46" s="31">
        <v>0</v>
      </c>
      <c r="CR46" s="30">
        <v>1.2690000000000001</v>
      </c>
      <c r="CS46" s="30">
        <v>1.1070000000000002</v>
      </c>
      <c r="CT46" s="30">
        <v>0.16200000000000003</v>
      </c>
      <c r="CU46" s="30">
        <v>17.162125590051108</v>
      </c>
      <c r="CV46" s="30">
        <v>15.579136189734635</v>
      </c>
      <c r="CW46" s="30">
        <v>0.052500000000000005</v>
      </c>
      <c r="CX46" s="30">
        <v>4.0948608176269614</v>
      </c>
      <c r="CY46" s="30">
        <v>0.53550000000000009</v>
      </c>
      <c r="CZ46" s="30">
        <v>0.22800000000000004</v>
      </c>
      <c r="DA46" s="30">
        <v>0.57150000000000012</v>
      </c>
      <c r="DB46" s="30">
        <v>48.159925466101761</v>
      </c>
      <c r="DC46" s="30">
        <v>20.540575950792423</v>
      </c>
      <c r="DD46" s="30">
        <v>51.840074533898232</v>
      </c>
      <c r="DE46" s="30">
        <v>-1.6230687575166711</v>
      </c>
      <c r="DF46" s="30">
        <v>-1.6461316305349694</v>
      </c>
      <c r="DG46" s="30">
        <v>0.22427927292995084</v>
      </c>
      <c r="DH46" s="30">
        <v>0.66666666666666663</v>
      </c>
      <c r="DI46" s="30">
        <v>1.1415</v>
      </c>
      <c r="DJ46" s="30">
        <v>1.1159999999999999</v>
      </c>
      <c r="DK46" s="30">
        <v>0.11850000000000001</v>
      </c>
      <c r="DL46" s="30">
        <v>9.0951407272742397</v>
      </c>
      <c r="DM46" s="30">
        <v>8.3137541429092128</v>
      </c>
      <c r="DN46" s="30">
        <v>0.048000000000000001</v>
      </c>
      <c r="DO46" s="30">
        <v>5.1635472087611376</v>
      </c>
      <c r="DP46" s="30">
        <v>0.35400000000000004</v>
      </c>
      <c r="DQ46" s="30">
        <v>0.16800000000000001</v>
      </c>
      <c r="DR46" s="30">
        <v>0.72000000000000008</v>
      </c>
      <c r="DS46" s="30">
        <v>33.111506203222007</v>
      </c>
      <c r="DT46" s="30">
        <v>16.606401771172926</v>
      </c>
      <c r="DU46" s="30">
        <v>66.888493796777993</v>
      </c>
      <c r="DV46" s="30">
        <v>-1.6523671533226025</v>
      </c>
      <c r="DW46" s="30">
        <v>-1.4951800083070594</v>
      </c>
      <c r="DX46" s="30">
        <v>0.1566917159172739</v>
      </c>
      <c r="DY46" s="30">
        <v>1</v>
      </c>
      <c r="DZ46" s="30">
        <v>1.8122500000000001</v>
      </c>
      <c r="EA46" s="30">
        <v>1.6280000000000001</v>
      </c>
      <c r="EB46" s="30">
        <v>0.25225000000000003</v>
      </c>
      <c r="EC46" s="30">
        <v>16.999482128519418</v>
      </c>
      <c r="ED46" s="30">
        <v>10.559949610203445</v>
      </c>
      <c r="EE46" s="30">
        <v>0.041750000000000002</v>
      </c>
      <c r="EF46" s="30">
        <v>0.6120000000000001</v>
      </c>
      <c r="EG46" s="30">
        <v>0.34350000000000003</v>
      </c>
      <c r="EH46" s="30">
        <v>0.9900000000000001</v>
      </c>
      <c r="EI46" s="30">
        <v>39.45816047389097</v>
      </c>
      <c r="EJ46" s="30">
        <v>22.375236783566528</v>
      </c>
      <c r="EK46" s="30">
        <v>60.54183952610903</v>
      </c>
      <c r="EL46" s="30">
        <v>-1.7681083771187414</v>
      </c>
      <c r="EM46" s="30">
        <v>-1.728603958457414</v>
      </c>
      <c r="EN46" s="30">
        <v>0.21073482083917239</v>
      </c>
      <c r="EO46" s="30">
        <v>2</v>
      </c>
    </row>
    <row r="47" ht="14.25">
      <c r="A47" s="42" t="s">
        <v>139</v>
      </c>
      <c r="B47" s="43">
        <v>1</v>
      </c>
      <c r="C47" s="43">
        <v>8.0800000000000001</v>
      </c>
      <c r="D47" s="30">
        <v>0.85319999999999996</v>
      </c>
      <c r="E47" s="30">
        <v>1.5252000000000001</v>
      </c>
      <c r="F47" s="30">
        <v>2.3784000000000001</v>
      </c>
      <c r="G47" s="30">
        <v>0</v>
      </c>
      <c r="H47" s="30">
        <v>10.079211122193787</v>
      </c>
      <c r="I47" s="30">
        <v>18.18657810109028</v>
      </c>
      <c r="J47" s="30">
        <v>0.41400000000000003</v>
      </c>
      <c r="K47" s="30">
        <v>48.770068295615744</v>
      </c>
      <c r="L47" s="30">
        <f>J47/F47</f>
        <v>0.17406659939455096</v>
      </c>
      <c r="M47" s="30">
        <v>-1.5165146731995818</v>
      </c>
      <c r="N47" s="31">
        <v>0.1298342210091819</v>
      </c>
      <c r="O47" s="30">
        <v>0.91800000000000004</v>
      </c>
      <c r="P47" s="30">
        <v>0.91066666666666685</v>
      </c>
      <c r="Q47" s="30">
        <v>1.8286666666666664</v>
      </c>
      <c r="R47" s="30">
        <v>0</v>
      </c>
      <c r="S47" s="30">
        <v>10.049752580032226</v>
      </c>
      <c r="T47" s="30">
        <v>18.031029802044969</v>
      </c>
      <c r="U47" s="30">
        <v>0.39933333333333332</v>
      </c>
      <c r="V47" s="30">
        <v>42.602699791446604</v>
      </c>
      <c r="W47" s="30">
        <f>U47/Q47</f>
        <v>0.21837404301859281</v>
      </c>
      <c r="X47" s="30">
        <v>-1.6038372315956744</v>
      </c>
      <c r="Y47" s="31">
        <v>0.14888999382775203</v>
      </c>
      <c r="Z47" s="32">
        <f>F47-Q47</f>
        <v>0.54973333333333363</v>
      </c>
      <c r="AA47" s="30">
        <v>1.9463999999999999</v>
      </c>
      <c r="AB47" s="30">
        <v>3.9990000000000001</v>
      </c>
      <c r="AC47" s="30">
        <v>0.0060000000000000001</v>
      </c>
      <c r="AD47" s="30">
        <v>1.0788</v>
      </c>
      <c r="AE47" s="30">
        <v>0.86760000000000004</v>
      </c>
      <c r="AF47" s="30">
        <v>10.015063579959428</v>
      </c>
      <c r="AG47" s="30">
        <f>AF47/AA47</f>
        <v>5.1454292950880749</v>
      </c>
      <c r="AH47" s="30">
        <v>-2.7153068308558423</v>
      </c>
      <c r="AI47" s="72">
        <f>(AE47/AA47)*100</f>
        <v>44.574599260172633</v>
      </c>
      <c r="AJ47" s="30">
        <v>1.946</v>
      </c>
      <c r="AK47" s="30">
        <v>4.2880000000000003</v>
      </c>
      <c r="AL47" s="30">
        <v>0.025333333333333333</v>
      </c>
      <c r="AM47" s="30">
        <v>0.96466666666666667</v>
      </c>
      <c r="AN47" s="30">
        <v>0.98133333333333339</v>
      </c>
      <c r="AO47" s="30">
        <v>10.708475812825563</v>
      </c>
      <c r="AP47" s="30">
        <f>AN47/AJ47</f>
        <v>0.50428228845495038</v>
      </c>
      <c r="AQ47" s="30">
        <v>-2.4652335994643626</v>
      </c>
      <c r="AR47" s="45">
        <f>(AN47/AJ47)*100</f>
        <v>50.428228845495035</v>
      </c>
      <c r="AS47" s="46">
        <f>AJ47-AA47</f>
        <v>-0.00039999999999995595</v>
      </c>
      <c r="AT47" s="46">
        <f>AN47-AE47</f>
        <v>0.11373333333333335</v>
      </c>
      <c r="AU47" s="30">
        <v>6.804202759295892</v>
      </c>
      <c r="AV47" s="30">
        <v>0.075298727198083462</v>
      </c>
      <c r="AW47" s="30">
        <v>0.012910965771909533</v>
      </c>
      <c r="AX47" s="31">
        <v>0.012921308788911973</v>
      </c>
      <c r="AY47" s="30">
        <v>7.2460000000000004</v>
      </c>
      <c r="AZ47" s="30">
        <v>4.0720000000000001</v>
      </c>
      <c r="BA47" s="30">
        <v>9.5426688010172604</v>
      </c>
      <c r="BB47" s="30">
        <v>1.8900826550060468</v>
      </c>
      <c r="BC47" s="39">
        <v>-2.4739355258432685</v>
      </c>
      <c r="BD47" s="30">
        <v>10.006800000000002</v>
      </c>
      <c r="BE47" s="30">
        <v>5.1383999999999999</v>
      </c>
      <c r="BF47" s="30">
        <v>18.230747119366647</v>
      </c>
      <c r="BG47" s="30">
        <v>1.9147122707844608</v>
      </c>
      <c r="BH47" s="39">
        <v>-2.6622927263102767</v>
      </c>
      <c r="BI47" s="30">
        <v>9.5808</v>
      </c>
      <c r="BJ47" s="30">
        <v>5.6519999999999992</v>
      </c>
      <c r="BK47" s="30">
        <v>27.239508762671914</v>
      </c>
      <c r="BL47" s="30">
        <v>3.0727811744043998</v>
      </c>
      <c r="BM47" s="39">
        <v>-2.5179131365095819</v>
      </c>
      <c r="BN47" s="30">
        <v>6.4199999999999999</v>
      </c>
      <c r="BO47" s="30">
        <v>3.0252000000000003</v>
      </c>
      <c r="BP47" s="30">
        <v>34.371023216414208</v>
      </c>
      <c r="BQ47" s="30">
        <v>5.3546197129793436</v>
      </c>
      <c r="BR47" s="39">
        <v>-2.5573324705525389</v>
      </c>
      <c r="BS47" s="30">
        <v>9.7476000000000003</v>
      </c>
      <c r="BT47" s="30">
        <v>5.1660000000000004</v>
      </c>
      <c r="BU47" s="30">
        <v>42.939663217565659</v>
      </c>
      <c r="BV47" s="30">
        <v>4.7365484359250889</v>
      </c>
      <c r="BW47" s="39">
        <v>-2.4264034379126782</v>
      </c>
      <c r="BX47" s="30">
        <v>-0.082588944399928005</v>
      </c>
      <c r="BY47" s="30">
        <v>2.5620253041380949</v>
      </c>
      <c r="BZ47" s="30">
        <v>0.0031747213665725971</v>
      </c>
      <c r="CA47" s="30">
        <v>1.6065</v>
      </c>
      <c r="CB47" s="30">
        <v>0.79800000000000004</v>
      </c>
      <c r="CC47" s="30">
        <v>0.80850000000000011</v>
      </c>
      <c r="CD47" s="30">
        <v>8.933144726959144</v>
      </c>
      <c r="CE47" s="30">
        <v>12.201603137714521</v>
      </c>
      <c r="CF47" s="30">
        <v>0.037499999999999999</v>
      </c>
      <c r="CG47" s="30">
        <v>3.1136503603266275</v>
      </c>
      <c r="CH47" s="30">
        <v>0.38250000000000001</v>
      </c>
      <c r="CI47" s="30">
        <v>0.22200000000000003</v>
      </c>
      <c r="CJ47" s="30">
        <v>0.41550000000000004</v>
      </c>
      <c r="CK47" s="30">
        <v>45.128796563280659</v>
      </c>
      <c r="CL47" s="30">
        <v>26.184726387312935</v>
      </c>
      <c r="CM47" s="30">
        <v>54.871203436719341</v>
      </c>
      <c r="CN47" s="30">
        <v>-1.4973305260153986</v>
      </c>
      <c r="CO47" s="30">
        <v>-1.5189059441769384</v>
      </c>
      <c r="CP47" s="30">
        <v>0.12789774986637378</v>
      </c>
      <c r="CQ47" s="31">
        <v>0.75</v>
      </c>
      <c r="CR47" s="30">
        <v>4.7500000000000009</v>
      </c>
      <c r="CS47" s="30">
        <v>0.95999999999999996</v>
      </c>
      <c r="CT47" s="30">
        <v>3.7900000000000005</v>
      </c>
      <c r="CU47" s="30">
        <v>17.11404141116255</v>
      </c>
      <c r="CV47" s="30">
        <v>19.819116476394267</v>
      </c>
      <c r="CW47" s="30">
        <v>0.056250000000000001</v>
      </c>
      <c r="CX47" s="30">
        <v>4.0836361307820601</v>
      </c>
      <c r="CY47" s="30">
        <v>0.42900000000000005</v>
      </c>
      <c r="CZ47" s="30">
        <v>0.255</v>
      </c>
      <c r="DA47" s="30">
        <v>0.53099999999999992</v>
      </c>
      <c r="DB47" s="30">
        <v>44.49782809003554</v>
      </c>
      <c r="DC47" s="30">
        <v>22.976174805844419</v>
      </c>
      <c r="DD47" s="30">
        <v>55.502171909964453</v>
      </c>
      <c r="DE47" s="30">
        <v>-1.4915653927968293</v>
      </c>
      <c r="DF47" s="30">
        <v>-1.5306956979829638</v>
      </c>
      <c r="DG47" s="30">
        <v>0.30242099243381104</v>
      </c>
      <c r="DH47" s="30">
        <v>1</v>
      </c>
      <c r="DI47" s="30">
        <v>1.2435</v>
      </c>
      <c r="DJ47" s="30">
        <v>0.6795000000000001</v>
      </c>
      <c r="DK47" s="30">
        <v>0.56400000000000006</v>
      </c>
      <c r="DL47" s="30">
        <v>8.6290512657278491</v>
      </c>
      <c r="DM47" s="30">
        <v>13.057102439069038</v>
      </c>
      <c r="DN47" s="30">
        <v>0.037499999999999999</v>
      </c>
      <c r="DO47" s="30">
        <v>5.0880449532563228</v>
      </c>
      <c r="DP47" s="30">
        <v>0.25650000000000006</v>
      </c>
      <c r="DQ47" s="30">
        <v>0.1275</v>
      </c>
      <c r="DR47" s="30">
        <v>0.42300000000000004</v>
      </c>
      <c r="DS47" s="30">
        <v>38.653835916936245</v>
      </c>
      <c r="DT47" s="30">
        <v>18.66210727575946</v>
      </c>
      <c r="DU47" s="30">
        <v>61.346164083063755</v>
      </c>
      <c r="DV47" s="30">
        <v>-1.4485462152564255</v>
      </c>
      <c r="DW47" s="30">
        <v>-1.4560529881224313</v>
      </c>
      <c r="DX47" s="30">
        <v>0.1512358467050105</v>
      </c>
      <c r="DY47" s="30">
        <v>0.5</v>
      </c>
      <c r="DZ47" s="30">
        <v>2.1420000000000003</v>
      </c>
      <c r="EA47" s="30">
        <v>1.0905</v>
      </c>
      <c r="EB47" s="30">
        <v>1.0515000000000001</v>
      </c>
      <c r="EC47" s="30">
        <v>17.51971318719653</v>
      </c>
      <c r="ED47" s="30">
        <v>17.827913955062353</v>
      </c>
      <c r="EE47" s="30">
        <v>0.066000000000000003</v>
      </c>
      <c r="EF47" s="30">
        <v>0.36599999999999999</v>
      </c>
      <c r="EG47" s="30">
        <v>0.17550000000000002</v>
      </c>
      <c r="EH47" s="30">
        <v>0.72449999999999992</v>
      </c>
      <c r="EI47" s="30">
        <v>34.740041694944857</v>
      </c>
      <c r="EJ47" s="30">
        <v>15.994088299421424</v>
      </c>
      <c r="EK47" s="30">
        <v>65.259958305055136</v>
      </c>
      <c r="EL47" s="30">
        <v>-1.4967921979349113</v>
      </c>
      <c r="EM47" s="30">
        <v>-1.5428314863066404</v>
      </c>
      <c r="EN47" s="30">
        <v>0.19886810318531428</v>
      </c>
      <c r="EO47" s="30">
        <v>2.5</v>
      </c>
    </row>
    <row r="48" ht="14.25">
      <c r="A48" s="42" t="s">
        <v>138</v>
      </c>
      <c r="B48" s="52">
        <v>1</v>
      </c>
      <c r="C48" s="55">
        <v>8.0800000000000001</v>
      </c>
      <c r="D48" s="30">
        <v>0.68175000000000008</v>
      </c>
      <c r="E48" s="30">
        <v>0.94574999999999998</v>
      </c>
      <c r="F48" s="30">
        <v>1.6620000000000001</v>
      </c>
      <c r="G48" s="30">
        <v>0.034500000000000003</v>
      </c>
      <c r="H48" s="30">
        <v>10.09877565265721</v>
      </c>
      <c r="I48" s="30">
        <v>18.06947007225865</v>
      </c>
      <c r="J48" s="30">
        <v>0.26100000000000001</v>
      </c>
      <c r="K48" s="30">
        <v>39.913951368751398</v>
      </c>
      <c r="L48" s="30">
        <f>J48/F48</f>
        <v>0.15703971119133572</v>
      </c>
      <c r="M48" s="30">
        <v>-1.4919024151929932</v>
      </c>
      <c r="N48" s="31">
        <v>0.14305855308710161</v>
      </c>
      <c r="O48" s="30">
        <v>0.62057142857142866</v>
      </c>
      <c r="P48" s="30">
        <v>0.76457142857142857</v>
      </c>
      <c r="Q48" s="30">
        <v>1.4245714285714286</v>
      </c>
      <c r="R48" s="30">
        <v>0.039428571428571431</v>
      </c>
      <c r="S48" s="30">
        <v>10.613150416973811</v>
      </c>
      <c r="T48" s="30">
        <v>17.325676817704153</v>
      </c>
      <c r="U48" s="30">
        <v>0.35914285714285715</v>
      </c>
      <c r="V48" s="30">
        <v>53.696293290459543</v>
      </c>
      <c r="W48" s="30">
        <f>U48/Q48</f>
        <v>0.25210589651022863</v>
      </c>
      <c r="X48" s="30">
        <v>-1.5168051009425552</v>
      </c>
      <c r="Y48" s="31">
        <v>0.19037400767915966</v>
      </c>
      <c r="Z48" s="32">
        <f>F48-Q48</f>
        <v>0.23742857142857154</v>
      </c>
      <c r="AA48" s="30">
        <v>1.8514285714285716</v>
      </c>
      <c r="AB48" s="30">
        <v>3.7234285714285713</v>
      </c>
      <c r="AC48" s="30">
        <v>0.0085714285714285719</v>
      </c>
      <c r="AD48" s="30">
        <v>1.0842857142857143</v>
      </c>
      <c r="AE48" s="30">
        <v>0.76714285714285702</v>
      </c>
      <c r="AF48" s="30">
        <v>11.691454018767692</v>
      </c>
      <c r="AG48" s="30">
        <f>AF48/AA48</f>
        <v>6.3148285595195857</v>
      </c>
      <c r="AH48" s="30">
        <v>-2.5406607568226387</v>
      </c>
      <c r="AI48" s="72">
        <f>(AE48/AA48)*100</f>
        <v>41.435185185185176</v>
      </c>
      <c r="AJ48" s="30">
        <v>1.7058</v>
      </c>
      <c r="AK48" s="30">
        <v>3.3894000000000006</v>
      </c>
      <c r="AL48" s="30">
        <v>0.022800000000000001</v>
      </c>
      <c r="AM48" s="30">
        <v>0.9174000000000001</v>
      </c>
      <c r="AN48" s="30">
        <v>0.78839999999999999</v>
      </c>
      <c r="AO48" s="30">
        <v>11.974760489054907</v>
      </c>
      <c r="AP48" s="30">
        <f>AN48/AJ48</f>
        <v>0.46218782975729861</v>
      </c>
      <c r="AQ48" s="30">
        <v>-2.6152105846038003</v>
      </c>
      <c r="AR48" s="45">
        <f>(AN48/AJ48)*100</f>
        <v>46.218782975729859</v>
      </c>
      <c r="AS48" s="46">
        <f>AJ48-AA48</f>
        <v>-0.14562857142857166</v>
      </c>
      <c r="AT48" s="46">
        <f>AN48-AE48</f>
        <v>0.021257142857142974</v>
      </c>
      <c r="AU48" s="30">
        <v>0.77609463810528601</v>
      </c>
      <c r="AV48" s="30">
        <v>0.53320408049373924</v>
      </c>
      <c r="AW48" s="30">
        <v>0.81163073559238375</v>
      </c>
      <c r="AX48" s="31">
        <v>0.81205635547383037</v>
      </c>
      <c r="AY48" s="30">
        <v>2.3983999999999996</v>
      </c>
      <c r="AZ48" s="30">
        <v>1.1223999999999998</v>
      </c>
      <c r="BA48" s="30">
        <v>9.7424101069709437</v>
      </c>
      <c r="BB48" s="30">
        <v>4.0952811075809183</v>
      </c>
      <c r="BC48" s="39">
        <v>-2.3379612901973368</v>
      </c>
      <c r="BD48" s="30">
        <v>3.7152000000000007</v>
      </c>
      <c r="BE48" s="30">
        <v>1.6175999999999999</v>
      </c>
      <c r="BF48" s="30">
        <v>19.122330807008069</v>
      </c>
      <c r="BG48" s="30">
        <v>5.2001845184683955</v>
      </c>
      <c r="BH48" s="39">
        <v>-2.5229695875484439</v>
      </c>
      <c r="BI48" s="30">
        <v>5.0925000000000002</v>
      </c>
      <c r="BJ48" s="30">
        <v>2.4255000000000004</v>
      </c>
      <c r="BK48" s="30">
        <v>28.844762639001011</v>
      </c>
      <c r="BL48" s="30">
        <v>5.6730899714974292</v>
      </c>
      <c r="BM48" s="39">
        <v>-2.3168269813274804</v>
      </c>
      <c r="BN48" s="30">
        <v>5.5619999999999994</v>
      </c>
      <c r="BO48" s="30">
        <v>2.2704</v>
      </c>
      <c r="BP48" s="30">
        <v>38.107866669278522</v>
      </c>
      <c r="BQ48" s="30">
        <v>7.0854610262862661</v>
      </c>
      <c r="BR48" s="39">
        <v>-2.3275207426656737</v>
      </c>
      <c r="BS48" s="30">
        <v>5.7359999999999998</v>
      </c>
      <c r="BT48" s="30">
        <v>2.9927999999999999</v>
      </c>
      <c r="BU48" s="30">
        <v>46.820117696836363</v>
      </c>
      <c r="BV48" s="30">
        <v>8.2198616904632029</v>
      </c>
      <c r="BW48" s="39">
        <v>-2.415771962690441</v>
      </c>
      <c r="BX48" s="49">
        <v>0.073178349167390688</v>
      </c>
      <c r="BY48" s="49">
        <v>0.93763464345671765</v>
      </c>
      <c r="BZ48" s="49">
        <v>0.12133076123735831</v>
      </c>
      <c r="CA48" s="30">
        <v>1.2067500000000002</v>
      </c>
      <c r="CB48" s="30">
        <v>0.79049999999999998</v>
      </c>
      <c r="CC48" s="30">
        <v>0.41624999999999995</v>
      </c>
      <c r="CD48" s="30">
        <v>8.6840827378194358</v>
      </c>
      <c r="CE48" s="30">
        <v>11.670399705402527</v>
      </c>
      <c r="CF48" s="30">
        <v>0.051750000000000004</v>
      </c>
      <c r="CG48" s="30">
        <v>3.1102431706618074</v>
      </c>
      <c r="CH48" s="30">
        <v>0.42000000000000004</v>
      </c>
      <c r="CI48" s="30">
        <v>0.26850000000000002</v>
      </c>
      <c r="CJ48" s="30">
        <v>0.37050000000000005</v>
      </c>
      <c r="CK48" s="30">
        <v>54.089571900407563</v>
      </c>
      <c r="CL48" s="30">
        <v>31.349161188841332</v>
      </c>
      <c r="CM48" s="30">
        <v>45.91042809959243</v>
      </c>
      <c r="CN48" s="30">
        <v>-1.5699625662559731</v>
      </c>
      <c r="CO48" s="30">
        <v>-1.6800311270894412</v>
      </c>
      <c r="CP48" s="30">
        <v>0.059884042345252686</v>
      </c>
      <c r="CQ48" s="31">
        <v>0.25</v>
      </c>
      <c r="CR48" s="30">
        <v>1.18475</v>
      </c>
      <c r="CS48" s="30">
        <v>0.75149999999999995</v>
      </c>
      <c r="CT48" s="30">
        <v>0.43325000000000002</v>
      </c>
      <c r="CU48" s="30">
        <v>16.733446945747442</v>
      </c>
      <c r="CV48" s="30">
        <v>22.281462566708729</v>
      </c>
      <c r="CW48" s="30">
        <v>0.058750000000000004</v>
      </c>
      <c r="CX48" s="30">
        <v>4.0590006049353669</v>
      </c>
      <c r="CY48" s="30">
        <v>0.30450000000000005</v>
      </c>
      <c r="CZ48" s="30">
        <v>0.07350000000000001</v>
      </c>
      <c r="DA48" s="30">
        <v>0.44700000000000006</v>
      </c>
      <c r="DB48" s="30">
        <v>40.434389714933275</v>
      </c>
      <c r="DC48" s="30">
        <v>9.7982120643728461</v>
      </c>
      <c r="DD48" s="30">
        <v>59.565610285066739</v>
      </c>
      <c r="DE48" s="30">
        <v>-1.5266808600800852</v>
      </c>
      <c r="DF48" s="30">
        <v>-1.5741180666330077</v>
      </c>
      <c r="DG48" s="30">
        <v>0.19778272359241886</v>
      </c>
      <c r="DH48" s="30">
        <v>0.5</v>
      </c>
      <c r="DI48" s="30">
        <v>1.2730000000000001</v>
      </c>
      <c r="DJ48" s="30">
        <v>0.88200000000000001</v>
      </c>
      <c r="DK48" s="30">
        <v>0.39100000000000007</v>
      </c>
      <c r="DL48" s="30">
        <v>8.8168196788071178</v>
      </c>
      <c r="DM48" s="30">
        <v>10.022726309670773</v>
      </c>
      <c r="DN48" s="30">
        <v>0.051500000000000004</v>
      </c>
      <c r="DO48" s="30">
        <v>5.1270293687252977</v>
      </c>
      <c r="DP48" s="30">
        <v>0.35850000000000004</v>
      </c>
      <c r="DQ48" s="30">
        <v>0.20550000000000002</v>
      </c>
      <c r="DR48" s="30">
        <v>0.52349999999999997</v>
      </c>
      <c r="DS48" s="30">
        <v>40.991596106527716</v>
      </c>
      <c r="DT48" s="30">
        <v>23.778156209292227</v>
      </c>
      <c r="DU48" s="30">
        <v>59.008403893472277</v>
      </c>
      <c r="DV48" s="30">
        <v>-1.5162773411034434</v>
      </c>
      <c r="DW48" s="30">
        <v>-1.5769845892919361</v>
      </c>
      <c r="DX48" s="30">
        <v>0.12535277196945788</v>
      </c>
      <c r="DY48" s="30">
        <v>1</v>
      </c>
      <c r="DZ48" s="30">
        <v>1.4413333333333336</v>
      </c>
      <c r="EA48" s="30">
        <v>1.032</v>
      </c>
      <c r="EB48" s="30">
        <v>0.40933333333333338</v>
      </c>
      <c r="EC48" s="30">
        <v>16.733603810903297</v>
      </c>
      <c r="ED48" s="30">
        <v>16.345435637965299</v>
      </c>
      <c r="EE48" s="30">
        <v>0.036750000000000005</v>
      </c>
      <c r="EF48" s="30">
        <v>0.32200000000000006</v>
      </c>
      <c r="EG48" s="30">
        <v>0.088000000000000009</v>
      </c>
      <c r="EH48" s="30">
        <v>0.70999999999999996</v>
      </c>
      <c r="EI48" s="30">
        <v>31.188248398774714</v>
      </c>
      <c r="EJ48" s="30">
        <v>8.4734521488907451</v>
      </c>
      <c r="EK48" s="30">
        <v>68.811751601225282</v>
      </c>
      <c r="EL48" s="30">
        <v>-1.451866740142054</v>
      </c>
      <c r="EM48" s="30">
        <v>-1.5817122493880038</v>
      </c>
      <c r="EN48" s="30">
        <v>0.11779463248265938</v>
      </c>
      <c r="EO48" s="30">
        <v>1</v>
      </c>
    </row>
    <row r="49" ht="14.25">
      <c r="A49" s="42" t="s">
        <v>138</v>
      </c>
      <c r="B49" s="51">
        <v>2</v>
      </c>
      <c r="C49" s="48">
        <v>8.0899999999999999</v>
      </c>
      <c r="D49" s="30">
        <v>0.8653333333333334</v>
      </c>
      <c r="E49" s="30">
        <v>1.236</v>
      </c>
      <c r="F49" s="30">
        <v>2.1206666666666667</v>
      </c>
      <c r="G49" s="30">
        <v>0.019333333333333334</v>
      </c>
      <c r="H49" s="30">
        <v>10.757040004893218</v>
      </c>
      <c r="I49" s="30">
        <v>17.670094861922809</v>
      </c>
      <c r="J49" s="30">
        <v>0.43266666666666675</v>
      </c>
      <c r="K49" s="30">
        <v>49.291626438744068</v>
      </c>
      <c r="L49" s="30">
        <f>J49/F49</f>
        <v>0.20402389185790637</v>
      </c>
      <c r="M49" s="30">
        <v>-1.4966863755246456</v>
      </c>
      <c r="N49" s="31">
        <v>0.11856139548142303</v>
      </c>
      <c r="O49" s="30">
        <v>0.9866666666666668</v>
      </c>
      <c r="P49" s="30">
        <v>1.3699999999999999</v>
      </c>
      <c r="Q49" s="30">
        <v>2.3813333333333331</v>
      </c>
      <c r="R49" s="30">
        <v>0.02466666666666667</v>
      </c>
      <c r="S49" s="30">
        <v>10.479180207093629</v>
      </c>
      <c r="T49" s="30">
        <v>17.75468798442175</v>
      </c>
      <c r="U49" s="30">
        <v>0.47066666666666662</v>
      </c>
      <c r="V49" s="30">
        <v>47.483070744982783</v>
      </c>
      <c r="W49" s="30">
        <f>U49/Q49</f>
        <v>0.19764837625979845</v>
      </c>
      <c r="X49" s="30">
        <v>-1.4628299527539435</v>
      </c>
      <c r="Y49" s="31">
        <v>0.1502978052762709</v>
      </c>
      <c r="Z49" s="50">
        <f>F49-Q49</f>
        <v>-0.26066666666666638</v>
      </c>
      <c r="AA49" s="30">
        <v>1.9692000000000001</v>
      </c>
      <c r="AB49" s="30">
        <v>3.7472000000000003</v>
      </c>
      <c r="AC49" s="30">
        <v>0.018200000000000001</v>
      </c>
      <c r="AD49" s="30">
        <v>0.98659999999999992</v>
      </c>
      <c r="AE49" s="30">
        <v>0.98260000000000003</v>
      </c>
      <c r="AF49" s="30">
        <v>11.560313956085356</v>
      </c>
      <c r="AG49" s="30">
        <f>AF49/AA49</f>
        <v>5.8705636583817569</v>
      </c>
      <c r="AH49" s="30">
        <v>-2.3069157757802117</v>
      </c>
      <c r="AI49" s="72">
        <f>(AE49/AA49)*100</f>
        <v>49.898435913061142</v>
      </c>
      <c r="AJ49" s="30">
        <v>1.9939999999999998</v>
      </c>
      <c r="AK49" s="30">
        <v>3.9660000000000002</v>
      </c>
      <c r="AL49" s="30">
        <v>0.020000000000000004</v>
      </c>
      <c r="AM49" s="30">
        <v>1.0226666666666668</v>
      </c>
      <c r="AN49" s="30">
        <v>0.97133333333333338</v>
      </c>
      <c r="AO49" s="30">
        <v>12.062224833617064</v>
      </c>
      <c r="AP49" s="30">
        <f>AN49/AJ49</f>
        <v>0.48712805081912414</v>
      </c>
      <c r="AQ49" s="30">
        <v>-2.3143951691260036</v>
      </c>
      <c r="AR49" s="45">
        <f>(AN49/AJ49)*100</f>
        <v>48.712805081912414</v>
      </c>
      <c r="AS49" s="46">
        <f>AJ49-AA49</f>
        <v>0.024799999999999711</v>
      </c>
      <c r="AT49" s="46">
        <f>AN49-AE49</f>
        <v>-0.011266666666666647</v>
      </c>
      <c r="AU49" s="30">
        <v>1.2797677949892767</v>
      </c>
      <c r="AV49" s="30">
        <v>0.3969504207230638</v>
      </c>
      <c r="AW49" s="30">
        <v>0.40370635376000219</v>
      </c>
      <c r="AX49" s="31">
        <v>0.4041731099088342</v>
      </c>
      <c r="AY49" s="30">
        <v>3.3280000000000003</v>
      </c>
      <c r="AZ49" s="30">
        <v>1.6992</v>
      </c>
      <c r="BA49" s="30">
        <v>9.0729172322851497</v>
      </c>
      <c r="BB49" s="30">
        <v>2.8421796517870388</v>
      </c>
      <c r="BC49" s="39">
        <v>-2.5586645227152172</v>
      </c>
      <c r="BD49" s="30">
        <v>4.3892000000000007</v>
      </c>
      <c r="BE49" s="30">
        <v>2.0748000000000002</v>
      </c>
      <c r="BF49" s="30">
        <v>19.956516852428827</v>
      </c>
      <c r="BG49" s="30">
        <v>4.9778246828075456</v>
      </c>
      <c r="BH49" s="39">
        <v>-2.6852198551371544</v>
      </c>
      <c r="BI49" s="30">
        <v>4.4988000000000001</v>
      </c>
      <c r="BJ49" s="30">
        <v>2.1984000000000004</v>
      </c>
      <c r="BK49" s="30">
        <v>28.652358338991082</v>
      </c>
      <c r="BL49" s="30">
        <v>6.6311220834391609</v>
      </c>
      <c r="BM49" s="39">
        <v>-2.4669906367195487</v>
      </c>
      <c r="BN49" s="30">
        <v>4.4903999999999993</v>
      </c>
      <c r="BO49" s="30">
        <v>2.028</v>
      </c>
      <c r="BP49" s="30">
        <v>38.908137516876721</v>
      </c>
      <c r="BQ49" s="30">
        <v>8.796693395276133</v>
      </c>
      <c r="BR49" s="39">
        <v>-2.4759811704581844</v>
      </c>
      <c r="BS49" s="30">
        <v>6.8568000000000016</v>
      </c>
      <c r="BT49" s="30">
        <v>3.3312000000000004</v>
      </c>
      <c r="BU49" s="30">
        <v>47.763685355755001</v>
      </c>
      <c r="BV49" s="30">
        <v>7.1378174839362147</v>
      </c>
      <c r="BW49" s="39">
        <v>-2.4622781313782163</v>
      </c>
      <c r="BX49" s="49">
        <v>0.058079919797948285</v>
      </c>
      <c r="BY49" s="49">
        <v>1.0990947083167288</v>
      </c>
      <c r="BZ49" s="49">
        <v>0.13376379444655018</v>
      </c>
      <c r="CA49" s="30">
        <v>1.2315</v>
      </c>
      <c r="CB49" s="30">
        <v>0.89100000000000001</v>
      </c>
      <c r="CC49" s="30">
        <v>0.34050000000000002</v>
      </c>
      <c r="CD49" s="30">
        <v>8.9170333938379986</v>
      </c>
      <c r="CE49" s="30">
        <v>10.097193081849619</v>
      </c>
      <c r="CF49" s="30">
        <v>0.042000000000000003</v>
      </c>
      <c r="CG49" s="30">
        <v>3.14297770478725</v>
      </c>
      <c r="CH49" s="30">
        <v>0.35700000000000004</v>
      </c>
      <c r="CI49" s="30">
        <v>0.20700000000000002</v>
      </c>
      <c r="CJ49" s="30">
        <v>0.53400000000000003</v>
      </c>
      <c r="CK49" s="30">
        <v>40.392762320755644</v>
      </c>
      <c r="CL49" s="30">
        <v>23.116418738849365</v>
      </c>
      <c r="CM49" s="30">
        <v>59.607237679244363</v>
      </c>
      <c r="CN49" s="30">
        <v>-1.4898875414936468</v>
      </c>
      <c r="CO49" s="30">
        <v>-1.5095476550667932</v>
      </c>
      <c r="CP49" s="30">
        <v>0.093078581623402615</v>
      </c>
      <c r="CQ49" s="31">
        <v>0.5</v>
      </c>
      <c r="CR49" s="30">
        <v>1.4067500000000002</v>
      </c>
      <c r="CS49" s="30">
        <v>1.1010000000000002</v>
      </c>
      <c r="CT49" s="30">
        <v>0.30575000000000002</v>
      </c>
      <c r="CU49" s="30">
        <v>17.334968348038316</v>
      </c>
      <c r="CV49" s="30">
        <v>15.861169578900377</v>
      </c>
      <c r="CW49" s="30">
        <v>0.03925</v>
      </c>
      <c r="CX49" s="30">
        <v>4.1115300337609249</v>
      </c>
      <c r="CY49" s="30">
        <v>0.35700000000000004</v>
      </c>
      <c r="CZ49" s="30">
        <v>0.14249999999999999</v>
      </c>
      <c r="DA49" s="30">
        <v>0.74400000000000011</v>
      </c>
      <c r="DB49" s="30">
        <v>33.033667537155473</v>
      </c>
      <c r="DC49" s="30">
        <v>13.306554812031219</v>
      </c>
      <c r="DD49" s="30">
        <v>66.96633246284452</v>
      </c>
      <c r="DE49" s="30">
        <v>-1.5716665055577197</v>
      </c>
      <c r="DF49" s="30">
        <v>-1.5734471212059906</v>
      </c>
      <c r="DG49" s="30">
        <v>0.11473646537335455</v>
      </c>
      <c r="DH49" s="30">
        <v>1</v>
      </c>
      <c r="DI49" s="30">
        <v>1.415</v>
      </c>
      <c r="DJ49" s="30">
        <v>1.0635000000000001</v>
      </c>
      <c r="DK49" s="30">
        <v>0.35150000000000003</v>
      </c>
      <c r="DL49" s="30">
        <v>9.0738367023593938</v>
      </c>
      <c r="DM49" s="30">
        <v>8.8213357586491679</v>
      </c>
      <c r="DN49" s="30">
        <v>0.059500000000000011</v>
      </c>
      <c r="DO49" s="30">
        <v>5.1721322455103387</v>
      </c>
      <c r="DP49" s="30">
        <v>0.49650000000000005</v>
      </c>
      <c r="DQ49" s="30">
        <v>0.20550000000000002</v>
      </c>
      <c r="DR49" s="30">
        <v>0.56700000000000006</v>
      </c>
      <c r="DS49" s="30">
        <v>45.085269304721464</v>
      </c>
      <c r="DT49" s="30">
        <v>20.878772558398914</v>
      </c>
      <c r="DU49" s="30">
        <v>54.91473069527855</v>
      </c>
      <c r="DV49" s="30">
        <v>-1.597265834474827</v>
      </c>
      <c r="DW49" s="30">
        <v>-1.6349190367195063</v>
      </c>
      <c r="DX49" s="30">
        <v>0.12236741025158974</v>
      </c>
      <c r="DY49" s="30">
        <v>0.75</v>
      </c>
      <c r="DZ49" s="30">
        <v>1.41825</v>
      </c>
      <c r="EA49" s="30">
        <v>1.0545</v>
      </c>
      <c r="EB49" s="30">
        <v>0.36375000000000007</v>
      </c>
      <c r="EC49" s="30">
        <v>16.999211335022427</v>
      </c>
      <c r="ED49" s="30">
        <v>16.300195494626593</v>
      </c>
      <c r="EE49" s="30">
        <v>0.069750000000000006</v>
      </c>
      <c r="EF49" s="30">
        <v>0.42750000000000005</v>
      </c>
      <c r="EG49" s="30">
        <v>0.13950000000000001</v>
      </c>
      <c r="EH49" s="30">
        <v>0.627</v>
      </c>
      <c r="EI49" s="30">
        <v>40.709727881486202</v>
      </c>
      <c r="EJ49" s="30">
        <v>13.126848197641838</v>
      </c>
      <c r="EK49" s="30">
        <v>59.290272118513805</v>
      </c>
      <c r="EL49" s="30">
        <v>-1.5291178709253517</v>
      </c>
      <c r="EM49" s="30">
        <v>-1.6319138446294026</v>
      </c>
      <c r="EN49" s="30">
        <v>0.091749003146295277</v>
      </c>
      <c r="EO49" s="30">
        <v>0.5</v>
      </c>
    </row>
    <row r="50" ht="14.25">
      <c r="A50" s="43" t="s">
        <v>139</v>
      </c>
      <c r="B50" s="43">
        <v>1</v>
      </c>
      <c r="C50" s="55">
        <v>8.0999999999999996</v>
      </c>
      <c r="D50" s="30">
        <v>0.95025000000000004</v>
      </c>
      <c r="E50" s="30">
        <v>1.1557500000000003</v>
      </c>
      <c r="F50" s="30">
        <v>2.1270000000000002</v>
      </c>
      <c r="G50" s="30">
        <v>0.021000000000000001</v>
      </c>
      <c r="H50" s="30">
        <v>10.310905768646075</v>
      </c>
      <c r="I50" s="30">
        <v>17.817441571913385</v>
      </c>
      <c r="J50" s="30">
        <v>0.37125000000000002</v>
      </c>
      <c r="K50" s="30">
        <v>38.468622095378265</v>
      </c>
      <c r="L50" s="30">
        <f>J50/F50</f>
        <v>0.17454160789844853</v>
      </c>
      <c r="M50" s="30">
        <v>-1.576924204002591</v>
      </c>
      <c r="N50" s="31">
        <v>0.083589122752564249</v>
      </c>
      <c r="O50" s="30">
        <v>0.92820000000000014</v>
      </c>
      <c r="P50" s="30">
        <v>0.92219999999999991</v>
      </c>
      <c r="Q50" s="30">
        <v>1.8755999999999999</v>
      </c>
      <c r="R50" s="30">
        <v>0.0252</v>
      </c>
      <c r="S50" s="30">
        <v>10.457615848198364</v>
      </c>
      <c r="T50" s="30">
        <v>17.437860961682802</v>
      </c>
      <c r="U50" s="30">
        <v>0.45300000000000001</v>
      </c>
      <c r="V50" s="30">
        <v>47.597842475442633</v>
      </c>
      <c r="W50" s="30">
        <f>U50/Q50</f>
        <v>0.2415227127319258</v>
      </c>
      <c r="X50" s="30">
        <v>-1.5923582192121462</v>
      </c>
      <c r="Y50" s="31">
        <v>0.073802342709598442</v>
      </c>
      <c r="Z50" s="32">
        <f>F50-Q50</f>
        <v>0.25140000000000029</v>
      </c>
      <c r="AA50" s="30">
        <v>4.1904000000000003</v>
      </c>
      <c r="AB50" s="30">
        <v>8.3634000000000004</v>
      </c>
      <c r="AC50" s="30">
        <v>0.036600000000000008</v>
      </c>
      <c r="AD50" s="30">
        <v>2.6868000000000007</v>
      </c>
      <c r="AE50" s="30">
        <v>1.5036</v>
      </c>
      <c r="AF50" s="30">
        <v>11.199931047480742</v>
      </c>
      <c r="AG50" s="30">
        <f>AF50/AA50</f>
        <v>2.6727594137745183</v>
      </c>
      <c r="AH50" s="30">
        <v>-2.6138052386126733</v>
      </c>
      <c r="AI50" s="72">
        <f>(AE50/AA50)*100</f>
        <v>35.882016036655209</v>
      </c>
      <c r="AJ50" s="30">
        <v>4.4326666666666661</v>
      </c>
      <c r="AK50" s="30">
        <v>7.8846666666666669</v>
      </c>
      <c r="AL50" s="30">
        <v>0.020000000000000004</v>
      </c>
      <c r="AM50" s="30">
        <v>2.7486666666666673</v>
      </c>
      <c r="AN50" s="30">
        <v>1.6840000000000002</v>
      </c>
      <c r="AO50" s="30">
        <v>11.664877362683415</v>
      </c>
      <c r="AP50" s="30">
        <f>AN50/AJ50</f>
        <v>0.37990675289517228</v>
      </c>
      <c r="AQ50" s="30">
        <v>-2.6104617486981572</v>
      </c>
      <c r="AR50" s="45">
        <f>(AN50/AJ50)*100</f>
        <v>37.990675289517227</v>
      </c>
      <c r="AS50" s="46">
        <f>AJ50-AA50</f>
        <v>0.24226666666666574</v>
      </c>
      <c r="AT50" s="46">
        <f>AN50-AE50</f>
        <v>0.18040000000000012</v>
      </c>
      <c r="AU50" s="30">
        <v>2.4105822070160916</v>
      </c>
      <c r="AV50" s="30">
        <v>0.29368669669625974</v>
      </c>
      <c r="AW50" s="30">
        <v>0.34685836556691196</v>
      </c>
      <c r="AX50" s="31">
        <v>0.3476961760579067</v>
      </c>
      <c r="AY50" s="30">
        <v>5.0400000000000009</v>
      </c>
      <c r="AZ50" s="30">
        <v>2.2511999999999999</v>
      </c>
      <c r="BA50" s="30">
        <v>7.7013680045009192</v>
      </c>
      <c r="BB50" s="30">
        <v>1.6815946216293878</v>
      </c>
      <c r="BC50" s="39">
        <v>-2.5221231963629824</v>
      </c>
      <c r="BD50" s="30">
        <v>5.4208000000000007</v>
      </c>
      <c r="BE50" s="30">
        <v>2.4455999999999998</v>
      </c>
      <c r="BF50" s="30">
        <v>17.52721950866021</v>
      </c>
      <c r="BG50" s="30">
        <v>3.3468079872502896</v>
      </c>
      <c r="BH50" s="39">
        <v>-2.4179194080758273</v>
      </c>
      <c r="BI50" s="30">
        <v>5.3280000000000003</v>
      </c>
      <c r="BJ50" s="30">
        <v>2.2931999999999997</v>
      </c>
      <c r="BK50" s="30">
        <v>26.004673068801793</v>
      </c>
      <c r="BL50" s="30">
        <v>4.9359280704877646</v>
      </c>
      <c r="BM50" s="39">
        <v>-2.4167250260403357</v>
      </c>
      <c r="BN50" s="30">
        <v>6.3420000000000005</v>
      </c>
      <c r="BO50" s="30">
        <v>2.9016000000000006</v>
      </c>
      <c r="BP50" s="30">
        <v>34.964797836670975</v>
      </c>
      <c r="BQ50" s="30">
        <v>5.5902543939033373</v>
      </c>
      <c r="BR50" s="39">
        <v>-2.5623687089176501</v>
      </c>
      <c r="BS50" s="30">
        <v>8.3255999999999997</v>
      </c>
      <c r="BT50" s="30">
        <v>3.8652000000000006</v>
      </c>
      <c r="BU50" s="30">
        <v>43.826567912272026</v>
      </c>
      <c r="BV50" s="30">
        <v>5.3979630610080287</v>
      </c>
      <c r="BW50" s="39">
        <v>-2.4022401182377151</v>
      </c>
      <c r="BX50" s="30">
        <v>0.15414296479570272</v>
      </c>
      <c r="BY50" s="30">
        <v>1.1341973331734763</v>
      </c>
      <c r="BZ50" s="30">
        <v>0.27287511069736003</v>
      </c>
      <c r="CA50" s="30">
        <v>1.5907500000000001</v>
      </c>
      <c r="CB50" s="30">
        <v>1.0335000000000001</v>
      </c>
      <c r="CC50" s="30">
        <v>0.55725000000000002</v>
      </c>
      <c r="CD50" s="30">
        <v>8.7772876051114839</v>
      </c>
      <c r="CE50" s="30">
        <v>9.1908406244715461</v>
      </c>
      <c r="CF50" s="30">
        <v>0.053249999999999999</v>
      </c>
      <c r="CG50" s="30">
        <v>3.1303122371986407</v>
      </c>
      <c r="CH50" s="30">
        <v>0.60899999999999999</v>
      </c>
      <c r="CI50" s="30">
        <v>0.33450000000000002</v>
      </c>
      <c r="CJ50" s="30">
        <v>0.42449999999999999</v>
      </c>
      <c r="CK50" s="30">
        <v>56.117184889904571</v>
      </c>
      <c r="CL50" s="30">
        <v>29.187481594790917</v>
      </c>
      <c r="CM50" s="30">
        <v>43.882815110095436</v>
      </c>
      <c r="CN50" s="30">
        <v>-1.5832554216493504</v>
      </c>
      <c r="CO50" s="30">
        <v>-1.6499814457381174</v>
      </c>
      <c r="CP50" s="30">
        <v>0.05704534868398127</v>
      </c>
      <c r="CQ50" s="31">
        <v>0.25</v>
      </c>
      <c r="CR50" s="30">
        <v>1.9170000000000003</v>
      </c>
      <c r="CS50" s="30">
        <v>1.3590000000000002</v>
      </c>
      <c r="CT50" s="30">
        <v>0.55800000000000005</v>
      </c>
      <c r="CU50" s="30">
        <v>17.309654968331394</v>
      </c>
      <c r="CV50" s="30">
        <v>13.026267476171762</v>
      </c>
      <c r="CW50" s="30">
        <v>0.040500000000000001</v>
      </c>
      <c r="CX50" s="30">
        <v>4.1110694373913717</v>
      </c>
      <c r="CY50" s="30">
        <v>0.78750000000000009</v>
      </c>
      <c r="CZ50" s="30">
        <v>0.39300000000000002</v>
      </c>
      <c r="DA50" s="30">
        <v>0.57150000000000001</v>
      </c>
      <c r="DB50" s="30">
        <v>57.877852941012769</v>
      </c>
      <c r="DC50" s="30">
        <v>28.521762122603604</v>
      </c>
      <c r="DD50" s="30">
        <v>42.122147058987224</v>
      </c>
      <c r="DE50" s="30">
        <v>-1.611479127832208</v>
      </c>
      <c r="DF50" s="30">
        <v>-1.6450519636063521</v>
      </c>
      <c r="DG50" s="30">
        <v>0.061434255069527335</v>
      </c>
      <c r="DH50" s="30">
        <v>0.5</v>
      </c>
      <c r="DI50" s="30">
        <v>1.7092500000000002</v>
      </c>
      <c r="DJ50" s="30">
        <v>1.29</v>
      </c>
      <c r="DK50" s="30">
        <v>0.48225000000000007</v>
      </c>
      <c r="DL50" s="30">
        <v>9.2398356274434281</v>
      </c>
      <c r="DM50" s="30">
        <v>7.522817497565641</v>
      </c>
      <c r="DN50" s="30">
        <v>0.05475</v>
      </c>
      <c r="DO50" s="30">
        <v>5.1799002124408053</v>
      </c>
      <c r="DP50" s="30">
        <v>0.59250000000000003</v>
      </c>
      <c r="DQ50" s="30">
        <v>0.33900000000000002</v>
      </c>
      <c r="DR50" s="30">
        <v>0.67400000000000004</v>
      </c>
      <c r="DS50" s="30">
        <v>48.053673852824204</v>
      </c>
      <c r="DT50" s="30">
        <v>23.847965073851274</v>
      </c>
      <c r="DU50" s="30">
        <v>51.946326147175796</v>
      </c>
      <c r="DV50" s="30">
        <v>-1.5062767087715483</v>
      </c>
      <c r="DW50" s="30">
        <v>-1.6375192726233223</v>
      </c>
      <c r="DX50" s="30">
        <v>0.074972769297906583</v>
      </c>
      <c r="DY50" s="30">
        <v>1.5</v>
      </c>
      <c r="DZ50" s="30">
        <v>2.1755000000000004</v>
      </c>
      <c r="EA50" s="30">
        <v>1.764</v>
      </c>
      <c r="EB50" s="30">
        <v>0.41150000000000003</v>
      </c>
      <c r="EC50" s="30">
        <v>17.471943582397977</v>
      </c>
      <c r="ED50" s="30">
        <v>10.147144756820328</v>
      </c>
      <c r="EE50" s="30">
        <v>0.041500000000000002</v>
      </c>
      <c r="EF50" s="30">
        <v>0.65700000000000003</v>
      </c>
      <c r="EG50" s="30">
        <v>0.47400000000000003</v>
      </c>
      <c r="EH50" s="30">
        <v>1.107</v>
      </c>
      <c r="EI50" s="30">
        <v>37.089831745650656</v>
      </c>
      <c r="EJ50" s="30">
        <v>25.756525899466659</v>
      </c>
      <c r="EK50" s="30">
        <v>62.910168254349344</v>
      </c>
      <c r="EL50" s="30">
        <v>-1.5550788377006579</v>
      </c>
      <c r="EM50" s="30">
        <v>-1.6399605956711087</v>
      </c>
      <c r="EN50" s="30">
        <v>0.13510813326073695</v>
      </c>
      <c r="EO50" s="30">
        <v>2</v>
      </c>
    </row>
    <row r="51" ht="14.25">
      <c r="A51" s="52" t="s">
        <v>138</v>
      </c>
      <c r="B51" s="52">
        <v>1</v>
      </c>
      <c r="C51" s="61">
        <v>9</v>
      </c>
      <c r="D51" s="30">
        <v>0.68314285714285727</v>
      </c>
      <c r="E51" s="30">
        <v>1.0697142857142858</v>
      </c>
      <c r="F51" s="30">
        <v>1.776</v>
      </c>
      <c r="G51" s="30">
        <v>0.023142857142857149</v>
      </c>
      <c r="H51" s="30">
        <v>10.635951334400639</v>
      </c>
      <c r="I51" s="30">
        <v>17.501538206775532</v>
      </c>
      <c r="J51" s="30">
        <v>0.35142857142857148</v>
      </c>
      <c r="K51" s="30">
        <v>51.192755149276884</v>
      </c>
      <c r="L51" s="30">
        <f>J51/F51</f>
        <v>0.1978764478764479</v>
      </c>
      <c r="M51" s="30">
        <v>-1.4559571380976537</v>
      </c>
      <c r="N51" s="31">
        <v>0.092812873700592644</v>
      </c>
      <c r="O51" s="30">
        <v>0.66839999999999999</v>
      </c>
      <c r="P51" s="30">
        <v>0.75480000000000003</v>
      </c>
      <c r="Q51" s="30">
        <v>1.4436</v>
      </c>
      <c r="R51" s="30">
        <v>0.020400000000000001</v>
      </c>
      <c r="S51" s="30">
        <v>10.557239942176029</v>
      </c>
      <c r="T51" s="30">
        <v>17.773474596016197</v>
      </c>
      <c r="U51" s="30">
        <v>0.36480000000000007</v>
      </c>
      <c r="V51" s="30">
        <v>54.5277845062637</v>
      </c>
      <c r="W51" s="30">
        <f>U51/Q51</f>
        <v>0.2527015793848712</v>
      </c>
      <c r="X51" s="30">
        <v>-1.5029717811678704</v>
      </c>
      <c r="Y51" s="31">
        <v>0.16520348769452656</v>
      </c>
      <c r="Z51" s="32">
        <f>F51-Q51</f>
        <v>0.33240000000000003</v>
      </c>
      <c r="AA51" s="30">
        <v>1.1879999999999999</v>
      </c>
      <c r="AB51" s="30">
        <v>2.4912000000000001</v>
      </c>
      <c r="AC51" s="30">
        <v>0.017999999999999999</v>
      </c>
      <c r="AD51" s="30">
        <v>0.5928000000000001</v>
      </c>
      <c r="AE51" s="30">
        <v>0.59520000000000006</v>
      </c>
      <c r="AF51" s="30">
        <v>11.166752880931901</v>
      </c>
      <c r="AG51" s="30">
        <f>AF51/AA51</f>
        <v>9.3996236371480641</v>
      </c>
      <c r="AH51" s="30">
        <v>-2.186409498563807</v>
      </c>
      <c r="AI51" s="72">
        <f>(AE51/AA51)*100</f>
        <v>50.101010101010111</v>
      </c>
      <c r="AJ51" s="30">
        <v>1.4802857142857146</v>
      </c>
      <c r="AK51" s="30">
        <v>3.0334285714285718</v>
      </c>
      <c r="AL51" s="30">
        <v>0.066857142857142865</v>
      </c>
      <c r="AM51" s="30">
        <v>0.68914285714285717</v>
      </c>
      <c r="AN51" s="30">
        <v>0.79114285714285715</v>
      </c>
      <c r="AO51" s="30">
        <v>11.175902643069817</v>
      </c>
      <c r="AP51" s="30">
        <f>AN51/AJ51</f>
        <v>0.53445280833815856</v>
      </c>
      <c r="AQ51" s="30">
        <v>-2.2710667860453535</v>
      </c>
      <c r="AR51" s="45">
        <f>(AN51/AJ51)*100</f>
        <v>53.445280833815858</v>
      </c>
      <c r="AS51" s="46">
        <f>AJ51-AA51</f>
        <v>0.2922857142857147</v>
      </c>
      <c r="AT51" s="46">
        <f>AN51-AE51</f>
        <v>0.19594285714285709</v>
      </c>
      <c r="AU51" s="30">
        <v>3.511230750836531</v>
      </c>
      <c r="AV51" s="30">
        <v>-0.035686647291021251</v>
      </c>
      <c r="AW51" s="30">
        <v>0.0027162442191382974</v>
      </c>
      <c r="AX51" s="31">
        <v>0.0027485651936920699</v>
      </c>
      <c r="AY51" s="30">
        <v>1.4220000000000002</v>
      </c>
      <c r="AZ51" s="30">
        <v>0.61799999999999999</v>
      </c>
      <c r="BA51" s="30">
        <v>9.4367285041957203</v>
      </c>
      <c r="BB51" s="30">
        <v>6.636236641487848</v>
      </c>
      <c r="BC51" s="39">
        <v>-2.0774818335622594</v>
      </c>
      <c r="BD51" s="30">
        <v>4.2285000000000004</v>
      </c>
      <c r="BE51" s="30">
        <v>1.9155000000000002</v>
      </c>
      <c r="BF51" s="30">
        <v>19.60421765488865</v>
      </c>
      <c r="BG51" s="30">
        <v>4.6446546019550894</v>
      </c>
      <c r="BH51" s="39">
        <v>-2.3208682016950672</v>
      </c>
      <c r="BI51" s="30">
        <v>3.3479999999999999</v>
      </c>
      <c r="BJ51" s="30">
        <v>1.536</v>
      </c>
      <c r="BK51" s="30">
        <v>29.31685538217009</v>
      </c>
      <c r="BL51" s="30">
        <v>8.833669388735828</v>
      </c>
      <c r="BM51" s="39">
        <v>-2.1479021081001477</v>
      </c>
      <c r="BN51" s="30">
        <v>2.1254999999999997</v>
      </c>
      <c r="BO51" s="30">
        <v>0.89400000000000002</v>
      </c>
      <c r="BP51" s="30">
        <v>36.929520888091844</v>
      </c>
      <c r="BQ51" s="30">
        <v>17.415067501515697</v>
      </c>
      <c r="BR51" s="39">
        <v>-2.1130966893033913</v>
      </c>
      <c r="BS51" s="30">
        <v>3.9660000000000002</v>
      </c>
      <c r="BT51" s="30">
        <v>1.8300000000000001</v>
      </c>
      <c r="BU51" s="30">
        <v>48.459357690067861</v>
      </c>
      <c r="BV51" s="30">
        <v>12.218698358564765</v>
      </c>
      <c r="BW51" s="39">
        <v>-2.0996250285623725</v>
      </c>
      <c r="BX51" s="49">
        <v>0.11277202457462536</v>
      </c>
      <c r="BY51" s="49">
        <v>0.68193634989575513</v>
      </c>
      <c r="BZ51" s="49">
        <v>0.45836501332560997</v>
      </c>
      <c r="CA51" s="30">
        <v>1.0486666666666666</v>
      </c>
      <c r="CB51" s="30">
        <v>0.80399999999999994</v>
      </c>
      <c r="CC51" s="30">
        <v>0.2446666666666667</v>
      </c>
      <c r="CD51" s="30">
        <v>8.5272030908424217</v>
      </c>
      <c r="CE51" s="30">
        <v>10.630600351914978</v>
      </c>
      <c r="CF51" s="30">
        <v>0.071999999999999995</v>
      </c>
      <c r="CG51" s="30">
        <v>3.0851283642176468</v>
      </c>
      <c r="CH51" s="30">
        <v>0.33000000000000002</v>
      </c>
      <c r="CI51" s="30">
        <v>0.088000000000000009</v>
      </c>
      <c r="CJ51" s="30">
        <v>0.47400000000000003</v>
      </c>
      <c r="CK51" s="30">
        <v>42.372927674544933</v>
      </c>
      <c r="CL51" s="30">
        <v>10.937773628386298</v>
      </c>
      <c r="CM51" s="30">
        <v>57.627072325455082</v>
      </c>
      <c r="CN51" s="30">
        <v>-1.663921197105634</v>
      </c>
      <c r="CO51" s="30">
        <v>-1.6158529411636298</v>
      </c>
      <c r="CP51" s="30">
        <v>0.096037604230542639</v>
      </c>
      <c r="CQ51" s="31">
        <v>0.66666666666666663</v>
      </c>
      <c r="CR51" s="30">
        <v>1.2084999999999999</v>
      </c>
      <c r="CS51" s="30">
        <v>1.032</v>
      </c>
      <c r="CT51" s="30">
        <v>0.17650000000000002</v>
      </c>
      <c r="CU51" s="30">
        <v>17.204897613225967</v>
      </c>
      <c r="CV51" s="30">
        <v>16.680314053556224</v>
      </c>
      <c r="CW51" s="30">
        <v>0.088000000000000009</v>
      </c>
      <c r="CX51" s="30">
        <v>4.0996736934756548</v>
      </c>
      <c r="CY51" s="30">
        <v>0.42599999999999999</v>
      </c>
      <c r="CZ51" s="30">
        <v>0.10500000000000002</v>
      </c>
      <c r="DA51" s="30">
        <v>0.60600000000000009</v>
      </c>
      <c r="DB51" s="30">
        <v>40.967032967032964</v>
      </c>
      <c r="DC51" s="30">
        <v>10.213017751479288</v>
      </c>
      <c r="DD51" s="30">
        <v>59.032967032967036</v>
      </c>
      <c r="DE51" s="30">
        <v>-1.7699740424718609</v>
      </c>
      <c r="DF51" s="30">
        <v>-1.626030777372625</v>
      </c>
      <c r="DG51" s="30">
        <v>0.13101237543682287</v>
      </c>
      <c r="DH51" s="30">
        <v>1</v>
      </c>
      <c r="DI51" s="30">
        <v>1.1330000000000002</v>
      </c>
      <c r="DJ51" s="30">
        <v>0.95550000000000002</v>
      </c>
      <c r="DK51" s="30">
        <v>0.17750000000000002</v>
      </c>
      <c r="DL51" s="30">
        <v>8.8126255390358939</v>
      </c>
      <c r="DM51" s="30">
        <v>9.2365116680093049</v>
      </c>
      <c r="DN51" s="30">
        <v>0.046000000000000006</v>
      </c>
      <c r="DO51" s="30">
        <v>5.1275802072043248</v>
      </c>
      <c r="DP51" s="30">
        <v>0.27450000000000002</v>
      </c>
      <c r="DQ51" s="30">
        <v>0.14250000000000002</v>
      </c>
      <c r="DR51" s="30">
        <v>0.68100000000000005</v>
      </c>
      <c r="DS51" s="30">
        <v>28.864771823028939</v>
      </c>
      <c r="DT51" s="30">
        <v>15.11246472598973</v>
      </c>
      <c r="DU51" s="30">
        <v>71.135228176971069</v>
      </c>
      <c r="DV51" s="30">
        <v>-1.5047295913406744</v>
      </c>
      <c r="DW51" s="30">
        <v>-1.4766539125601426</v>
      </c>
      <c r="DX51" s="30">
        <v>0.14350255934583775</v>
      </c>
      <c r="DY51" s="30">
        <v>1.5</v>
      </c>
      <c r="DZ51" s="30">
        <v>1.4910000000000003</v>
      </c>
      <c r="EA51" s="30">
        <v>1.1520000000000001</v>
      </c>
      <c r="EB51" s="30">
        <v>0.33900000000000002</v>
      </c>
      <c r="EC51" s="30">
        <v>17.120084071018617</v>
      </c>
      <c r="ED51" s="30">
        <v>14.863362136002394</v>
      </c>
      <c r="EE51" s="30">
        <v>0.032000000000000001</v>
      </c>
      <c r="EF51" s="30">
        <v>0.26700000000000002</v>
      </c>
      <c r="EG51" s="30">
        <v>0.10800000000000003</v>
      </c>
      <c r="EH51" s="30">
        <v>0.88500000000000012</v>
      </c>
      <c r="EI51" s="30">
        <v>23.171459576776993</v>
      </c>
      <c r="EJ51" s="30">
        <v>9.3977211068909376</v>
      </c>
      <c r="EK51" s="30">
        <v>76.828540423223018</v>
      </c>
      <c r="EL51" s="30">
        <v>-1.6998980836701971</v>
      </c>
      <c r="EM51" s="30">
        <v>-1.4850405598720371</v>
      </c>
      <c r="EN51" s="30">
        <v>0.12425255216205659</v>
      </c>
      <c r="EO51" s="30">
        <v>3</v>
      </c>
    </row>
    <row r="52" ht="14.25">
      <c r="A52" s="52" t="s">
        <v>138</v>
      </c>
      <c r="B52" s="52">
        <v>2</v>
      </c>
      <c r="C52" s="61">
        <v>9</v>
      </c>
      <c r="D52" s="30">
        <v>0.58699999999999997</v>
      </c>
      <c r="E52" s="30">
        <v>1.01</v>
      </c>
      <c r="F52" s="30">
        <v>1.7020000000000002</v>
      </c>
      <c r="G52" s="30">
        <v>0.10500000000000002</v>
      </c>
      <c r="H52" s="30">
        <v>10.365412359011199</v>
      </c>
      <c r="I52" s="30">
        <v>17.747510384919632</v>
      </c>
      <c r="J52" s="30">
        <v>0.318</v>
      </c>
      <c r="K52" s="30">
        <v>54.063201595225145</v>
      </c>
      <c r="L52" s="30">
        <f>J52/F52</f>
        <v>0.18683901292596944</v>
      </c>
      <c r="M52" s="30">
        <v>-1.5199317426781904</v>
      </c>
      <c r="N52" s="31">
        <v>0.072274861610440139</v>
      </c>
      <c r="O52" s="30">
        <v>0.6140000000000001</v>
      </c>
      <c r="P52" s="30">
        <v>0.6080000000000001</v>
      </c>
      <c r="Q52" s="30">
        <v>1.2250000000000001</v>
      </c>
      <c r="R52" s="30">
        <v>0.0030000000000000005</v>
      </c>
      <c r="S52" s="30">
        <v>10.64287256306809</v>
      </c>
      <c r="T52" s="30">
        <v>17.627935121888637</v>
      </c>
      <c r="U52" s="30">
        <v>0.34300000000000003</v>
      </c>
      <c r="V52" s="30">
        <v>54.248862980204706</v>
      </c>
      <c r="W52" s="30">
        <f>U52/Q52</f>
        <v>0.28000000000000003</v>
      </c>
      <c r="X52" s="30">
        <v>-1.4803121557758685</v>
      </c>
      <c r="Y52" s="31">
        <v>0.12978864785988384</v>
      </c>
      <c r="Z52" s="32">
        <f>F52-Q52</f>
        <v>0.47700000000000009</v>
      </c>
      <c r="AA52" s="30">
        <v>2.0031428571428571</v>
      </c>
      <c r="AB52" s="30">
        <v>3.9480000000000008</v>
      </c>
      <c r="AC52" s="30">
        <v>0.012</v>
      </c>
      <c r="AD52" s="30">
        <v>1.044</v>
      </c>
      <c r="AE52" s="30">
        <v>0.9591428571428573</v>
      </c>
      <c r="AF52" s="30">
        <v>11.76868888901514</v>
      </c>
      <c r="AG52" s="30">
        <f>AF52/AA52</f>
        <v>5.8751121254532865</v>
      </c>
      <c r="AH52" s="30">
        <v>-2.4162216857092682</v>
      </c>
      <c r="AI52" s="72">
        <f>(AE52/AA52)*100</f>
        <v>47.881899871630303</v>
      </c>
      <c r="AJ52" s="30">
        <v>2.076857142857143</v>
      </c>
      <c r="AK52" s="30">
        <v>3.8185714285714285</v>
      </c>
      <c r="AL52" s="30">
        <v>0.014571428571428572</v>
      </c>
      <c r="AM52" s="30">
        <v>1.1674285714285715</v>
      </c>
      <c r="AN52" s="30">
        <v>0.90942857142857148</v>
      </c>
      <c r="AO52" s="30">
        <v>11.418509134877954</v>
      </c>
      <c r="AP52" s="30">
        <f>AN52/AJ52</f>
        <v>0.43788691704498556</v>
      </c>
      <c r="AQ52" s="30">
        <v>-2.5102388100666428</v>
      </c>
      <c r="AR52" s="45">
        <f>(AN52/AJ52)*100</f>
        <v>43.788691704498554</v>
      </c>
      <c r="AS52" s="46">
        <f>AJ52-AA52</f>
        <v>0.073714285714285843</v>
      </c>
      <c r="AT52" s="46">
        <f>AN52-AE52</f>
        <v>-0.049714285714285822</v>
      </c>
      <c r="AU52" s="30">
        <v>2.1005851452836475</v>
      </c>
      <c r="AV52" s="30">
        <v>0.12434061894532401</v>
      </c>
      <c r="AW52" s="30">
        <v>0.037102094406457065</v>
      </c>
      <c r="AX52" s="31">
        <v>0.037102118291200109</v>
      </c>
      <c r="AY52" s="30">
        <v>2.6880000000000002</v>
      </c>
      <c r="AZ52" s="30">
        <v>1.4299999999999999</v>
      </c>
      <c r="BA52" s="30">
        <v>10.188136392560454</v>
      </c>
      <c r="BB52" s="30">
        <v>3.8919235482973611</v>
      </c>
      <c r="BC52" s="39">
        <v>-2.4025600815839465</v>
      </c>
      <c r="BD52" s="30">
        <v>3.2055000000000002</v>
      </c>
      <c r="BE52" s="30">
        <v>1.6890000000000001</v>
      </c>
      <c r="BF52" s="30">
        <v>19.763769461996162</v>
      </c>
      <c r="BG52" s="30">
        <v>6.2149495308823361</v>
      </c>
      <c r="BH52" s="39">
        <v>-2.1609823760122793</v>
      </c>
      <c r="BI52" s="30">
        <v>3.4091999999999998</v>
      </c>
      <c r="BJ52" s="30">
        <v>1.6632000000000002</v>
      </c>
      <c r="BK52" s="30">
        <v>28.366413269589987</v>
      </c>
      <c r="BL52" s="30">
        <v>8.9496041468360836</v>
      </c>
      <c r="BM52" s="39">
        <v>-2.4746079756234214</v>
      </c>
      <c r="BN52" s="30">
        <v>2.9055000000000004</v>
      </c>
      <c r="BO52" s="30">
        <v>1.3215000000000003</v>
      </c>
      <c r="BP52" s="30">
        <v>38.844945208656853</v>
      </c>
      <c r="BQ52" s="30">
        <v>15.30447256057246</v>
      </c>
      <c r="BR52" s="39">
        <v>-2.1212750599272638</v>
      </c>
      <c r="BS52" s="30">
        <v>3.456</v>
      </c>
      <c r="BT52" s="30">
        <v>1.6160000000000003</v>
      </c>
      <c r="BU52" s="30">
        <v>47.101798815476691</v>
      </c>
      <c r="BV52" s="30">
        <v>16.14251282169252</v>
      </c>
      <c r="BW52" s="39">
        <v>-2.1544278381153532</v>
      </c>
      <c r="BX52" s="49">
        <v>0.18521070885535235</v>
      </c>
      <c r="BY52" s="49">
        <v>0.2756610313190338</v>
      </c>
      <c r="BZ52" s="49">
        <v>0.66512630448081334</v>
      </c>
      <c r="CA52" s="30">
        <v>0.88975000000000004</v>
      </c>
      <c r="CB52" s="30">
        <v>0.57000000000000006</v>
      </c>
      <c r="CC52" s="30">
        <v>0.31974999999999998</v>
      </c>
      <c r="CD52" s="30">
        <v>8.7850828681734381</v>
      </c>
      <c r="CE52" s="30">
        <v>15.475326530707553</v>
      </c>
      <c r="CF52" s="30">
        <v>0.034250000000000003</v>
      </c>
      <c r="CG52" s="30">
        <v>3.1250903301081703</v>
      </c>
      <c r="CH52" s="30">
        <v>0.30600000000000005</v>
      </c>
      <c r="CI52" s="30">
        <v>0.094500000000000015</v>
      </c>
      <c r="CJ52" s="30">
        <v>0.26400000000000001</v>
      </c>
      <c r="CK52" s="30">
        <v>53.521095055404729</v>
      </c>
      <c r="CL52" s="30">
        <v>16.70190570289612</v>
      </c>
      <c r="CM52" s="30">
        <v>46.478904944595271</v>
      </c>
      <c r="CN52" s="30">
        <v>-1.4938731386928392</v>
      </c>
      <c r="CO52" s="30">
        <v>-1.5400396912042291</v>
      </c>
      <c r="CP52" s="30">
        <v>0.13860641173869842</v>
      </c>
      <c r="CQ52" s="31">
        <v>0</v>
      </c>
      <c r="CR52" s="30">
        <v>1.0447500000000001</v>
      </c>
      <c r="CS52" s="30">
        <v>0.62850000000000006</v>
      </c>
      <c r="CT52" s="30">
        <v>0.41624999999999995</v>
      </c>
      <c r="CU52" s="30">
        <v>17.149861784141471</v>
      </c>
      <c r="CV52" s="30">
        <v>28.522362284537358</v>
      </c>
      <c r="CW52" s="30">
        <v>0.012750000000000001</v>
      </c>
      <c r="CX52" s="30">
        <v>4.0925555995622833</v>
      </c>
      <c r="CY52" s="30">
        <v>0.33300000000000002</v>
      </c>
      <c r="CZ52" s="30">
        <v>0.14100000000000001</v>
      </c>
      <c r="DA52" s="30">
        <v>0.29550000000000004</v>
      </c>
      <c r="DB52" s="30">
        <v>53.159169759100237</v>
      </c>
      <c r="DC52" s="30">
        <v>23.806092175735088</v>
      </c>
      <c r="DD52" s="30">
        <v>46.840830240899763</v>
      </c>
      <c r="DE52" s="30">
        <v>-1.4203802471394456</v>
      </c>
      <c r="DF52" s="30">
        <v>-1.51821977620285</v>
      </c>
      <c r="DG52" s="30">
        <v>0.11899641929323868</v>
      </c>
      <c r="DH52" s="30">
        <v>0</v>
      </c>
      <c r="DI52" s="30">
        <v>0.89200000000000013</v>
      </c>
      <c r="DJ52" s="30">
        <v>0.68400000000000005</v>
      </c>
      <c r="DK52" s="30">
        <v>0.20800000000000005</v>
      </c>
      <c r="DL52" s="30">
        <v>8.7759185418970471</v>
      </c>
      <c r="DM52" s="30">
        <v>12.830290265931355</v>
      </c>
      <c r="DN52" s="30">
        <v>0.043999999999999997</v>
      </c>
      <c r="DO52" s="30">
        <v>5.1279993264939625</v>
      </c>
      <c r="DP52" s="30">
        <v>0.36000000000000004</v>
      </c>
      <c r="DQ52" s="30">
        <v>0.10800000000000001</v>
      </c>
      <c r="DR52" s="30">
        <v>0.32400000000000001</v>
      </c>
      <c r="DS52" s="30">
        <v>52.631578947368425</v>
      </c>
      <c r="DT52" s="30">
        <v>15.789473684210526</v>
      </c>
      <c r="DU52" s="30">
        <v>47.368421052631575</v>
      </c>
      <c r="DV52" s="30">
        <v>-1.3998289388451797</v>
      </c>
      <c r="DW52" s="30">
        <v>-1.5581456660157544</v>
      </c>
      <c r="DX52" s="30">
        <v>0.093143109277951719</v>
      </c>
      <c r="DY52" s="30">
        <v>0</v>
      </c>
      <c r="DZ52" s="30">
        <v>1.5110000000000001</v>
      </c>
      <c r="EA52" s="30">
        <v>1.2140000000000002</v>
      </c>
      <c r="EB52" s="30">
        <v>0.29700000000000004</v>
      </c>
      <c r="EC52" s="30">
        <v>17.533622292975696</v>
      </c>
      <c r="ED52" s="30">
        <v>14.795099753076302</v>
      </c>
      <c r="EE52" s="30">
        <v>0.052750000000000005</v>
      </c>
      <c r="EF52" s="30">
        <v>0.35400000000000004</v>
      </c>
      <c r="EG52" s="30">
        <v>0.16200000000000001</v>
      </c>
      <c r="EH52" s="30">
        <v>0.85999999999999999</v>
      </c>
      <c r="EI52" s="30">
        <v>29.470921915403466</v>
      </c>
      <c r="EJ52" s="30">
        <v>13.048647244673292</v>
      </c>
      <c r="EK52" s="30">
        <v>70.529078084596549</v>
      </c>
      <c r="EL52" s="30">
        <v>-1.4299950296712447</v>
      </c>
      <c r="EM52" s="30">
        <v>-1.5304871606733823</v>
      </c>
      <c r="EN52" s="30">
        <v>0.19659576587790151</v>
      </c>
      <c r="EO52" s="30">
        <v>2</v>
      </c>
    </row>
    <row r="53" ht="14.25">
      <c r="A53" s="42" t="s">
        <v>139</v>
      </c>
      <c r="B53" s="43">
        <v>1</v>
      </c>
      <c r="C53" s="43">
        <v>9</v>
      </c>
      <c r="D53" s="30">
        <v>0.80925000000000014</v>
      </c>
      <c r="E53" s="30">
        <v>1.1932500000000001</v>
      </c>
      <c r="F53" s="30">
        <v>2.0347500000000003</v>
      </c>
      <c r="G53" s="30">
        <v>0.032250000000000008</v>
      </c>
      <c r="H53" s="30">
        <v>11.125292400341467</v>
      </c>
      <c r="I53" s="30">
        <v>18.615931150677117</v>
      </c>
      <c r="J53" s="30">
        <v>0.35250000000000004</v>
      </c>
      <c r="K53" s="30">
        <v>45.49760038962151</v>
      </c>
      <c r="L53" s="30">
        <f>J53/F53</f>
        <v>0.17323995576852191</v>
      </c>
      <c r="M53" s="30">
        <v>-1.570944687196876</v>
      </c>
      <c r="N53" s="31">
        <v>0.16104511463458021</v>
      </c>
      <c r="O53" s="30">
        <v>0.85950000000000004</v>
      </c>
      <c r="P53" s="30">
        <v>0.99075000000000002</v>
      </c>
      <c r="Q53" s="30">
        <v>1.8667500000000001</v>
      </c>
      <c r="R53" s="30">
        <v>0.016500000000000001</v>
      </c>
      <c r="S53" s="30">
        <v>10.649818144067218</v>
      </c>
      <c r="T53" s="30">
        <v>17.509578210008922</v>
      </c>
      <c r="U53" s="30">
        <v>0.50800000000000012</v>
      </c>
      <c r="V53" s="30">
        <v>61.724111433615775</v>
      </c>
      <c r="W53" s="30">
        <f>U53/Q53</f>
        <v>0.27213070845051562</v>
      </c>
      <c r="X53" s="30">
        <v>-1.59353598514215</v>
      </c>
      <c r="Y53" s="31">
        <v>0.17714775781210296</v>
      </c>
      <c r="Z53" s="32">
        <f>F53-Q53</f>
        <v>0.16800000000000015</v>
      </c>
      <c r="AA53" s="30">
        <v>1.3637142857142859</v>
      </c>
      <c r="AB53" s="30">
        <v>2.3305714285714285</v>
      </c>
      <c r="AC53" s="30">
        <v>0.0051428571428571435</v>
      </c>
      <c r="AD53" s="30">
        <v>0.83828571428571419</v>
      </c>
      <c r="AE53" s="30">
        <v>0.52542857142857147</v>
      </c>
      <c r="AF53" s="30">
        <v>11.663961764863476</v>
      </c>
      <c r="AG53" s="30">
        <f>AF53/AA53</f>
        <v>8.5530832132876942</v>
      </c>
      <c r="AH53" s="30">
        <v>-2.3048496043047138</v>
      </c>
      <c r="AI53" s="72">
        <f>(AE53/AA53)*100</f>
        <v>38.529226901319923</v>
      </c>
      <c r="AJ53" s="30">
        <v>0.65475000000000005</v>
      </c>
      <c r="AK53" s="30">
        <v>1.3672500000000003</v>
      </c>
      <c r="AL53" s="30">
        <v>0.0044999999999999997</v>
      </c>
      <c r="AM53" s="30">
        <v>0.35625000000000001</v>
      </c>
      <c r="AN53" s="30">
        <v>0.29849999999999999</v>
      </c>
      <c r="AO53" s="30">
        <v>10.812232940736195</v>
      </c>
      <c r="AP53" s="30">
        <f>AN53/AJ53</f>
        <v>0.45589919816723934</v>
      </c>
      <c r="AQ53" s="30">
        <v>-2.0845671150079403</v>
      </c>
      <c r="AR53" s="45">
        <f>(AN53/AJ53)*100</f>
        <v>45.589919816723935</v>
      </c>
      <c r="AS53" s="46">
        <f>AJ53-AA53</f>
        <v>-0.70896428571428582</v>
      </c>
      <c r="AT53" s="46">
        <f>AN53-AE53</f>
        <v>-0.22692857142857148</v>
      </c>
      <c r="AU53" s="30">
        <v>2.6129123321957768</v>
      </c>
      <c r="AV53" s="30">
        <v>0.034820170342188969</v>
      </c>
      <c r="AW53" s="30">
        <v>0.00016865442557689736</v>
      </c>
      <c r="AX53" s="31">
        <v>0.00017104956783617597</v>
      </c>
      <c r="AY53" s="30">
        <v>5.8544</v>
      </c>
      <c r="AZ53" s="30">
        <v>2.532</v>
      </c>
      <c r="BA53" s="30">
        <v>13.040732003104941</v>
      </c>
      <c r="BB53" s="30">
        <v>8.5005655792948964</v>
      </c>
      <c r="BC53" s="39">
        <v>-3.2174689510055146</v>
      </c>
      <c r="BD53" s="30">
        <v>2.8896000000000002</v>
      </c>
      <c r="BE53" s="30">
        <v>1.6559999999999999</v>
      </c>
      <c r="BF53" s="30">
        <v>18.517183267962363</v>
      </c>
      <c r="BG53" s="30">
        <v>9.2558202053219407</v>
      </c>
      <c r="BH53" s="39">
        <v>-2.6716720458920458</v>
      </c>
      <c r="BI53" s="30">
        <v>1.2347999999999999</v>
      </c>
      <c r="BJ53" s="30">
        <v>0.66360000000000008</v>
      </c>
      <c r="BK53" s="30">
        <v>26.39657345036418</v>
      </c>
      <c r="BL53" s="30">
        <v>21.472726947605487</v>
      </c>
      <c r="BM53" s="39">
        <v>-1.9407784135953918</v>
      </c>
      <c r="BN53" s="30">
        <v>2.3820000000000001</v>
      </c>
      <c r="BO53" s="30">
        <v>1.5329999999999999</v>
      </c>
      <c r="BP53" s="30">
        <v>35.68084726295691</v>
      </c>
      <c r="BQ53" s="30">
        <v>20.707003533544523</v>
      </c>
      <c r="BR53" s="39">
        <v>-2.077075486552991</v>
      </c>
      <c r="BS53" s="30">
        <v>2.1335999999999999</v>
      </c>
      <c r="BT53" s="30">
        <v>1.3104</v>
      </c>
      <c r="BU53" s="30">
        <v>43.91196486801725</v>
      </c>
      <c r="BV53" s="30">
        <v>23.101220798653561</v>
      </c>
      <c r="BW53" s="39">
        <v>-2.0933994286463835</v>
      </c>
      <c r="BX53" s="30">
        <v>-0.032434229129309294</v>
      </c>
      <c r="BY53" s="30">
        <v>1.6998906702274452</v>
      </c>
      <c r="BZ53" s="30">
        <v>0.0014948445002502808</v>
      </c>
      <c r="CA53" s="30">
        <v>1.5230000000000001</v>
      </c>
      <c r="CB53" s="30">
        <v>0.92849999999999999</v>
      </c>
      <c r="CC53" s="30">
        <v>0.59450000000000003</v>
      </c>
      <c r="CD53" s="30">
        <v>8.6882508501892133</v>
      </c>
      <c r="CE53" s="30">
        <v>9.3988448632568833</v>
      </c>
      <c r="CF53" s="30">
        <v>0.056499999999999995</v>
      </c>
      <c r="CG53" s="30">
        <v>3.1093000693436652</v>
      </c>
      <c r="CH53" s="30">
        <v>0.48299999999999998</v>
      </c>
      <c r="CI53" s="30">
        <v>0.15450000000000003</v>
      </c>
      <c r="CJ53" s="30">
        <v>0.44550000000000001</v>
      </c>
      <c r="CK53" s="30">
        <v>51.175072679673512</v>
      </c>
      <c r="CL53" s="30">
        <v>16.30030533083518</v>
      </c>
      <c r="CM53" s="30">
        <v>48.824927320326495</v>
      </c>
      <c r="CN53" s="30">
        <v>-1.8079529076168419</v>
      </c>
      <c r="CO53" s="30">
        <v>-1.6724533680770191</v>
      </c>
      <c r="CP53" s="30">
        <v>0.096147567202825912</v>
      </c>
      <c r="CQ53" s="31">
        <v>0.75</v>
      </c>
      <c r="CR53" s="30">
        <v>1.4490000000000003</v>
      </c>
      <c r="CS53" s="30">
        <v>1.3965000000000003</v>
      </c>
      <c r="CT53" s="30">
        <v>0.052500000000000012</v>
      </c>
      <c r="CU53" s="30">
        <v>17.102523805868096</v>
      </c>
      <c r="CV53" s="30">
        <v>16.835482737713008</v>
      </c>
      <c r="CW53" s="30">
        <v>0.070500000000000007</v>
      </c>
      <c r="CX53" s="30">
        <v>4.0500778057023279</v>
      </c>
      <c r="CY53" s="30">
        <v>0.60899999999999999</v>
      </c>
      <c r="CZ53" s="30">
        <v>0.21900000000000003</v>
      </c>
      <c r="DA53" s="30">
        <v>0.78750000000000009</v>
      </c>
      <c r="DB53" s="30">
        <v>48.206472847257118</v>
      </c>
      <c r="DC53" s="30">
        <v>15.708093132746271</v>
      </c>
      <c r="DD53" s="30">
        <v>51.793527152742875</v>
      </c>
      <c r="DE53" s="30">
        <v>-1.7327408326051592</v>
      </c>
      <c r="DF53" s="30">
        <v>-1.8220274759910855</v>
      </c>
      <c r="DG53" s="30">
        <v>0.17239901834124985</v>
      </c>
      <c r="DH53" s="30">
        <v>2</v>
      </c>
      <c r="DI53" s="30">
        <v>2.1123333333333334</v>
      </c>
      <c r="DJ53" s="30">
        <v>2.706</v>
      </c>
      <c r="DK53" s="30">
        <v>0.76033333333333342</v>
      </c>
      <c r="DL53" s="30">
        <v>9.264889710502457</v>
      </c>
      <c r="DM53" s="30">
        <v>3.4238321177023123</v>
      </c>
      <c r="DN53" s="30">
        <v>0.054500000000000007</v>
      </c>
      <c r="DO53" s="30">
        <v>5.1959313041783899</v>
      </c>
      <c r="DP53" s="30">
        <v>0.50800000000000001</v>
      </c>
      <c r="DQ53" s="30">
        <v>0.34600000000000003</v>
      </c>
      <c r="DR53" s="30">
        <v>1.6019999999999999</v>
      </c>
      <c r="DS53" s="30">
        <v>34.733862502872547</v>
      </c>
      <c r="DT53" s="30">
        <v>17.282354183358489</v>
      </c>
      <c r="DU53" s="30">
        <v>65.266137497127445</v>
      </c>
      <c r="DV53" s="30">
        <v>-1.6984927176888884</v>
      </c>
      <c r="DW53" s="30">
        <v>-1.528066524414144</v>
      </c>
      <c r="DX53" s="30">
        <v>0.17222703042071222</v>
      </c>
      <c r="DY53" s="30">
        <v>2</v>
      </c>
      <c r="DZ53" s="30">
        <v>1.2330000000000001</v>
      </c>
      <c r="EA53" s="30">
        <v>1.2210000000000001</v>
      </c>
      <c r="EB53" s="30">
        <v>0.012000000000000007</v>
      </c>
      <c r="EC53" s="30">
        <v>17.166934083966225</v>
      </c>
      <c r="ED53" s="30">
        <v>15.245680577396822</v>
      </c>
      <c r="EE53" s="30">
        <v>0.076499999999999999</v>
      </c>
      <c r="EF53" s="30">
        <v>0.86099999999999999</v>
      </c>
      <c r="EG53" s="30">
        <v>0.089999999999999997</v>
      </c>
      <c r="EH53" s="30">
        <v>0.35999999999999999</v>
      </c>
      <c r="EI53" s="30">
        <v>66.566309192815226</v>
      </c>
      <c r="EJ53" s="30">
        <v>8.2169529767421334</v>
      </c>
      <c r="EK53" s="30">
        <v>33.433690807184782</v>
      </c>
      <c r="EL53" s="30">
        <v>-1.7721640939890577</v>
      </c>
      <c r="EM53" s="30">
        <v>-1.8662999534754388</v>
      </c>
      <c r="EN53" s="30">
        <v>0.13440030310415313</v>
      </c>
      <c r="EO53" s="30">
        <v>0.25</v>
      </c>
    </row>
    <row r="54" ht="14.25">
      <c r="A54" s="42" t="s">
        <v>138</v>
      </c>
      <c r="B54" s="52">
        <v>2</v>
      </c>
      <c r="C54" s="55">
        <v>9</v>
      </c>
      <c r="D54" s="30">
        <v>0.70000000000000007</v>
      </c>
      <c r="E54" s="30">
        <v>1.1046666666666667</v>
      </c>
      <c r="F54" s="30">
        <v>1.9313333333333336</v>
      </c>
      <c r="G54" s="30">
        <v>0.12666666666666668</v>
      </c>
      <c r="H54" s="30">
        <v>10.524503492176654</v>
      </c>
      <c r="I54" s="30">
        <v>17.810629567795857</v>
      </c>
      <c r="J54" s="30">
        <v>0.34800000000000003</v>
      </c>
      <c r="K54" s="30">
        <v>50.587990305586544</v>
      </c>
      <c r="L54" s="30">
        <f>J54/F54</f>
        <v>0.18018639972385225</v>
      </c>
      <c r="M54" s="30">
        <v>-1.5352308203477234</v>
      </c>
      <c r="N54" s="31">
        <v>0.15511673921049396</v>
      </c>
      <c r="O54" s="30">
        <v>0.69066666666666665</v>
      </c>
      <c r="P54" s="30">
        <v>0.7626666666666666</v>
      </c>
      <c r="Q54" s="30">
        <v>1.5693333333333332</v>
      </c>
      <c r="R54" s="30">
        <v>0.11600000000000001</v>
      </c>
      <c r="S54" s="30">
        <v>10.586131816295788</v>
      </c>
      <c r="T54" s="30">
        <v>17.92122099192985</v>
      </c>
      <c r="U54" s="30">
        <v>0.32000000000000006</v>
      </c>
      <c r="V54" s="30">
        <v>46.940565330134532</v>
      </c>
      <c r="W54" s="30">
        <f>U54/Q54</f>
        <v>0.20390824129141891</v>
      </c>
      <c r="X54" s="30">
        <v>-1.4831821807693713</v>
      </c>
      <c r="Y54" s="31">
        <v>0.15194389137999409</v>
      </c>
      <c r="Z54" s="32">
        <f>F54-Q54</f>
        <v>0.36200000000000032</v>
      </c>
      <c r="AA54" s="30">
        <v>1.5456000000000001</v>
      </c>
      <c r="AB54" s="30">
        <v>2.9664000000000001</v>
      </c>
      <c r="AC54" s="30">
        <v>0.0024000000000000002</v>
      </c>
      <c r="AD54" s="30">
        <v>0.8358000000000001</v>
      </c>
      <c r="AE54" s="30">
        <v>0.7098000000000001</v>
      </c>
      <c r="AF54" s="30">
        <v>11.398579542043553</v>
      </c>
      <c r="AG54" s="30">
        <f>AF54/AA54</f>
        <v>7.374857364158613</v>
      </c>
      <c r="AH54" s="30">
        <v>-2.5044803535084061</v>
      </c>
      <c r="AI54" s="72">
        <f>(AE54/AA54)*100</f>
        <v>45.923913043478265</v>
      </c>
      <c r="AJ54" s="30">
        <v>1.6194</v>
      </c>
      <c r="AK54" s="30">
        <v>2.9472</v>
      </c>
      <c r="AL54" s="30">
        <v>0.014400000000000001</v>
      </c>
      <c r="AM54" s="30">
        <v>0.88139999999999996</v>
      </c>
      <c r="AN54" s="30">
        <v>0.7380000000000001</v>
      </c>
      <c r="AO54" s="30">
        <v>11.137084284751968</v>
      </c>
      <c r="AP54" s="30">
        <f>AN54/AJ54</f>
        <v>0.45572434234901821</v>
      </c>
      <c r="AQ54" s="30">
        <v>-2.444564037033409</v>
      </c>
      <c r="AR54" s="45">
        <f>(AN54/AJ54)*100</f>
        <v>45.57243423490182</v>
      </c>
      <c r="AS54" s="46">
        <f>AJ54-AA54</f>
        <v>0.073799999999999866</v>
      </c>
      <c r="AT54" s="46">
        <f>AN54-AE54</f>
        <v>0.028200000000000003</v>
      </c>
      <c r="AU54" s="30">
        <v>0.88610631068731271</v>
      </c>
      <c r="AV54" s="30">
        <v>0.28408894776850119</v>
      </c>
      <c r="AW54" s="30">
        <v>0.50944104234829157</v>
      </c>
      <c r="AX54" s="31">
        <v>0.50972511859761516</v>
      </c>
      <c r="AY54" s="30">
        <v>1.5780000000000001</v>
      </c>
      <c r="AZ54" s="30">
        <v>0.72599999999999998</v>
      </c>
      <c r="BA54" s="30">
        <v>10.631447688556563</v>
      </c>
      <c r="BB54" s="30">
        <v>6.7880243331970433</v>
      </c>
      <c r="BC54" s="39">
        <v>-2.1619233458288107</v>
      </c>
      <c r="BD54" s="30">
        <v>2.476</v>
      </c>
      <c r="BE54" s="30">
        <v>1.1980000000000002</v>
      </c>
      <c r="BF54" s="30">
        <v>20.431070434346406</v>
      </c>
      <c r="BG54" s="30">
        <v>8.28605562469434</v>
      </c>
      <c r="BH54" s="39">
        <v>-1.9449934162829023</v>
      </c>
      <c r="BI54" s="30">
        <v>2.1750000000000003</v>
      </c>
      <c r="BJ54" s="30">
        <v>1.0380000000000003</v>
      </c>
      <c r="BK54" s="30">
        <v>28.81118499113834</v>
      </c>
      <c r="BL54" s="30">
        <v>13.478359526983587</v>
      </c>
      <c r="BM54" s="39">
        <v>-2.0979184468202789</v>
      </c>
      <c r="BN54" s="30">
        <v>2.6496</v>
      </c>
      <c r="BO54" s="30">
        <v>1.3211999999999999</v>
      </c>
      <c r="BP54" s="30">
        <v>36.68141039778213</v>
      </c>
      <c r="BQ54" s="30">
        <v>14.169881095742834</v>
      </c>
      <c r="BR54" s="39">
        <v>-2.1119286886457633</v>
      </c>
      <c r="BS54" s="30">
        <v>2.4767999999999999</v>
      </c>
      <c r="BT54" s="30">
        <v>1.2167999999999999</v>
      </c>
      <c r="BU54" s="30">
        <v>46.789554339062988</v>
      </c>
      <c r="BV54" s="30">
        <v>18.999039700299608</v>
      </c>
      <c r="BW54" s="39">
        <v>-2.131405183530533</v>
      </c>
      <c r="BX54" s="49">
        <v>0.10613364455562957</v>
      </c>
      <c r="BY54" s="49">
        <v>0.79167609395236471</v>
      </c>
      <c r="BZ54" s="49">
        <v>0.31443059785451166</v>
      </c>
      <c r="CA54" s="30">
        <v>1.0807500000000001</v>
      </c>
      <c r="CB54" s="30">
        <v>0.74850000000000005</v>
      </c>
      <c r="CC54" s="30">
        <v>0.33224999999999999</v>
      </c>
      <c r="CD54" s="30">
        <v>9.0245749767889265</v>
      </c>
      <c r="CE54" s="30">
        <v>12.779314517341662</v>
      </c>
      <c r="CF54" s="30">
        <v>0.051749999999999997</v>
      </c>
      <c r="CG54" s="30">
        <v>3.1697025626790953</v>
      </c>
      <c r="CH54" s="30">
        <v>0.36150000000000004</v>
      </c>
      <c r="CI54" s="30">
        <v>0.2145</v>
      </c>
      <c r="CJ54" s="30">
        <v>0.38700000000000001</v>
      </c>
      <c r="CK54" s="30">
        <v>46.809691745036574</v>
      </c>
      <c r="CL54" s="30">
        <v>24.574407871821666</v>
      </c>
      <c r="CM54" s="30">
        <v>53.190308254963426</v>
      </c>
      <c r="CN54" s="30">
        <v>-1.5421756503310131</v>
      </c>
      <c r="CO54" s="30">
        <v>-1.5855038080326684</v>
      </c>
      <c r="CP54" s="30">
        <v>0.067286374668518376</v>
      </c>
      <c r="CQ54" s="31">
        <v>0</v>
      </c>
      <c r="CR54" s="30">
        <v>1.3615000000000002</v>
      </c>
      <c r="CS54" s="30">
        <v>0.90150000000000008</v>
      </c>
      <c r="CT54" s="30">
        <v>0.46000000000000008</v>
      </c>
      <c r="CU54" s="30">
        <v>17.231627311349794</v>
      </c>
      <c r="CV54" s="30">
        <v>19.236300896515267</v>
      </c>
      <c r="CW54" s="30">
        <v>0.036500000000000005</v>
      </c>
      <c r="CX54" s="30">
        <v>4.1015637761654649</v>
      </c>
      <c r="CY54" s="30">
        <v>0.27450000000000002</v>
      </c>
      <c r="CZ54" s="30">
        <v>0.079500000000000001</v>
      </c>
      <c r="DA54" s="30">
        <v>0.627</v>
      </c>
      <c r="DB54" s="30">
        <v>30.591871408970071</v>
      </c>
      <c r="DC54" s="30">
        <v>8.7430537689735015</v>
      </c>
      <c r="DD54" s="30">
        <v>69.408128591029936</v>
      </c>
      <c r="DE54" s="30">
        <v>-1.4767727370378343</v>
      </c>
      <c r="DF54" s="30">
        <v>-1.512028708329628</v>
      </c>
      <c r="DG54" s="30">
        <v>0.11718542720535359</v>
      </c>
      <c r="DH54" s="30">
        <v>1.25</v>
      </c>
      <c r="DI54" s="30">
        <v>1.2030000000000001</v>
      </c>
      <c r="DJ54" s="30">
        <v>0.77700000000000002</v>
      </c>
      <c r="DK54" s="30">
        <v>0.42600000000000005</v>
      </c>
      <c r="DL54" s="30">
        <v>8.7700545478060707</v>
      </c>
      <c r="DM54" s="30">
        <v>11.652673699300189</v>
      </c>
      <c r="DN54" s="30">
        <v>0.052500000000000005</v>
      </c>
      <c r="DO54" s="30">
        <v>5.127197571123439</v>
      </c>
      <c r="DP54" s="30">
        <v>0.23400000000000004</v>
      </c>
      <c r="DQ54" s="30">
        <v>0.094500000000000015</v>
      </c>
      <c r="DR54" s="30">
        <v>0.54300000000000004</v>
      </c>
      <c r="DS54" s="30">
        <v>30.54862516999113</v>
      </c>
      <c r="DT54" s="30">
        <v>12.282937172649326</v>
      </c>
      <c r="DU54" s="30">
        <v>69.451374830008874</v>
      </c>
      <c r="DV54" s="30">
        <v>-1.472868566684032</v>
      </c>
      <c r="DW54" s="30">
        <v>-1.4600367221112402</v>
      </c>
      <c r="DX54" s="30">
        <v>0.085598437370768457</v>
      </c>
      <c r="DY54" s="30">
        <v>1</v>
      </c>
      <c r="DZ54" s="30">
        <v>1.4822500000000001</v>
      </c>
      <c r="EA54" s="30">
        <v>1.1204999999999998</v>
      </c>
      <c r="EB54" s="30">
        <v>0.36175000000000002</v>
      </c>
      <c r="EC54" s="30">
        <v>16.908115048271863</v>
      </c>
      <c r="ED54" s="30">
        <v>15.676228371234789</v>
      </c>
      <c r="EE54" s="30">
        <v>0.053750000000000006</v>
      </c>
      <c r="EF54" s="30">
        <v>0.36150000000000004</v>
      </c>
      <c r="EG54" s="30">
        <v>0.11850000000000001</v>
      </c>
      <c r="EH54" s="30">
        <v>0.75900000000000012</v>
      </c>
      <c r="EI54" s="30">
        <v>32.301193510981712</v>
      </c>
      <c r="EJ54" s="30">
        <v>10.115882649097747</v>
      </c>
      <c r="EK54" s="30">
        <v>67.698806489018281</v>
      </c>
      <c r="EL54" s="30">
        <v>-1.4839062295122163</v>
      </c>
      <c r="EM54" s="30">
        <v>-1.5942513513842527</v>
      </c>
      <c r="EN54" s="30">
        <v>0.087427856673300886</v>
      </c>
      <c r="EO54" s="30">
        <v>1.25</v>
      </c>
    </row>
    <row r="55" ht="14.25">
      <c r="A55" s="42" t="s">
        <v>138</v>
      </c>
      <c r="B55" s="47">
        <v>1</v>
      </c>
      <c r="C55" s="48">
        <v>9</v>
      </c>
      <c r="D55" s="30">
        <v>0.52920000000000011</v>
      </c>
      <c r="E55" s="30">
        <v>0.77880000000000016</v>
      </c>
      <c r="F55" s="30">
        <v>1.3764000000000003</v>
      </c>
      <c r="G55" s="30">
        <v>0.068400000000000002</v>
      </c>
      <c r="H55" s="30">
        <v>10.309539365925149</v>
      </c>
      <c r="I55" s="30">
        <v>17.776427012560831</v>
      </c>
      <c r="J55" s="30">
        <v>0.2898</v>
      </c>
      <c r="K55" s="30">
        <v>53.273418630043068</v>
      </c>
      <c r="L55" s="30">
        <f>J55/F55</f>
        <v>0.21054925893635568</v>
      </c>
      <c r="M55" s="30">
        <v>-1.4403570158221319</v>
      </c>
      <c r="N55" s="31">
        <v>0.1242220268967343</v>
      </c>
      <c r="O55" s="30">
        <v>0.59914285714285731</v>
      </c>
      <c r="P55" s="30">
        <v>0.78171428571428581</v>
      </c>
      <c r="Q55" s="30">
        <v>1.3851428571428575</v>
      </c>
      <c r="R55" s="30">
        <v>0.0042857142857142859</v>
      </c>
      <c r="S55" s="30">
        <v>11.102516096885754</v>
      </c>
      <c r="T55" s="30">
        <v>18.028166005432869</v>
      </c>
      <c r="U55" s="30">
        <v>0.27257142857142858</v>
      </c>
      <c r="V55" s="30">
        <v>45.717013318412853</v>
      </c>
      <c r="W55" s="30">
        <f>U55/Q55</f>
        <v>0.19678217821782173</v>
      </c>
      <c r="X55" s="30">
        <v>-1.4887787992732415</v>
      </c>
      <c r="Y55" s="31">
        <v>0.24669011666179871</v>
      </c>
      <c r="Z55" s="50">
        <f>F55-Q55</f>
        <v>-0.0087428571428571633</v>
      </c>
      <c r="AA55" s="30">
        <v>0.96419999999999972</v>
      </c>
      <c r="AB55" s="30">
        <v>2.1444000000000001</v>
      </c>
      <c r="AC55" s="30">
        <v>0.0246</v>
      </c>
      <c r="AD55" s="30">
        <v>0.49379999999999996</v>
      </c>
      <c r="AE55" s="30">
        <v>0.47039999999999998</v>
      </c>
      <c r="AF55" s="30">
        <v>11.531667930517445</v>
      </c>
      <c r="AG55" s="30">
        <f>AF55/AA55</f>
        <v>11.959829838744501</v>
      </c>
      <c r="AH55" s="30">
        <v>-2.2076246911078083</v>
      </c>
      <c r="AI55" s="72">
        <f>(AE55/AA55)*100</f>
        <v>48.786558805227145</v>
      </c>
      <c r="AJ55" s="30">
        <v>1.0200000000000002</v>
      </c>
      <c r="AK55" s="30">
        <v>2.2926666666666669</v>
      </c>
      <c r="AL55" s="30">
        <v>0.014666666666666668</v>
      </c>
      <c r="AM55" s="30">
        <v>0.51866666666666683</v>
      </c>
      <c r="AN55" s="30">
        <v>0.50133333333333341</v>
      </c>
      <c r="AO55" s="30">
        <v>11.99934652668825</v>
      </c>
      <c r="AP55" s="30">
        <f>AN55/AJ55</f>
        <v>0.49150326797385618</v>
      </c>
      <c r="AQ55" s="30">
        <v>-2.29006913957154</v>
      </c>
      <c r="AR55" s="45">
        <f>(AN55/AJ55)*100</f>
        <v>49.150326797385617</v>
      </c>
      <c r="AS55" s="46">
        <f>AJ55-AA55</f>
        <v>0.055800000000000516</v>
      </c>
      <c r="AT55" s="46">
        <f>AN55-AE55</f>
        <v>0.030933333333333424</v>
      </c>
      <c r="AU55" s="30">
        <v>0.44248968751796186</v>
      </c>
      <c r="AV55" s="30">
        <v>0.33786011329588239</v>
      </c>
      <c r="AW55" s="30">
        <v>0.64453158742837613</v>
      </c>
      <c r="AX55" s="31">
        <v>0.64469365133425838</v>
      </c>
      <c r="AY55" s="30">
        <v>0.89599999999999991</v>
      </c>
      <c r="AZ55" s="30">
        <v>0.54200000000000004</v>
      </c>
      <c r="BA55" s="30">
        <v>9.1589588691784947</v>
      </c>
      <c r="BB55" s="30">
        <v>10.234009973732455</v>
      </c>
      <c r="BC55" s="39">
        <v>-2.0661779926509944</v>
      </c>
      <c r="BD55" s="30">
        <v>1.1824000000000001</v>
      </c>
      <c r="BE55" s="30">
        <v>0.58200000000000007</v>
      </c>
      <c r="BF55" s="30">
        <v>19.044865858309493</v>
      </c>
      <c r="BG55" s="30">
        <v>16.312877269894564</v>
      </c>
      <c r="BH55" s="39">
        <v>-2.1714004121509425</v>
      </c>
      <c r="BI55" s="30">
        <v>1.4688000000000003</v>
      </c>
      <c r="BJ55" s="30">
        <v>0.75</v>
      </c>
      <c r="BK55" s="30">
        <v>31.273109091989802</v>
      </c>
      <c r="BL55" s="30">
        <v>21.345441934721066</v>
      </c>
      <c r="BM55" s="39">
        <v>-2.0905311289763326</v>
      </c>
      <c r="BN55" s="30">
        <v>1.6524000000000001</v>
      </c>
      <c r="BO55" s="30">
        <v>0.80280000000000007</v>
      </c>
      <c r="BP55" s="30">
        <v>37.614815529637575</v>
      </c>
      <c r="BQ55" s="30">
        <v>22.84834474485594</v>
      </c>
      <c r="BR55" s="39">
        <v>-2.0683992319128235</v>
      </c>
      <c r="BS55" s="30">
        <v>1.4568000000000001</v>
      </c>
      <c r="BT55" s="30">
        <v>0.71640000000000004</v>
      </c>
      <c r="BU55" s="30">
        <v>46.185419946523929</v>
      </c>
      <c r="BV55" s="30">
        <v>32.411523707335206</v>
      </c>
      <c r="BW55" s="39">
        <v>-1.9986761765904748</v>
      </c>
      <c r="BX55" s="49">
        <v>0.10950512823955584</v>
      </c>
      <c r="BY55" s="49">
        <v>0.45343163755098892</v>
      </c>
      <c r="BZ55" s="49">
        <v>0.49117524480105978</v>
      </c>
      <c r="CA55" s="30">
        <v>0.79500000000000004</v>
      </c>
      <c r="CB55" s="30">
        <v>0.44400000000000006</v>
      </c>
      <c r="CC55" s="30">
        <v>0.35100000000000003</v>
      </c>
      <c r="CD55" s="30">
        <v>9.0099317841444968</v>
      </c>
      <c r="CE55" s="30">
        <v>20.627560739230042</v>
      </c>
      <c r="CF55" s="30">
        <v>0.045000000000000005</v>
      </c>
      <c r="CG55" s="30">
        <v>3.1540991361641071</v>
      </c>
      <c r="CH55" s="30">
        <v>0.19950000000000001</v>
      </c>
      <c r="CI55" s="30">
        <v>0.070500000000000007</v>
      </c>
      <c r="CJ55" s="30">
        <v>0.24450000000000002</v>
      </c>
      <c r="CK55" s="30">
        <v>45.223217712280118</v>
      </c>
      <c r="CL55" s="30">
        <v>16.468673462979634</v>
      </c>
      <c r="CM55" s="30">
        <v>54.77678228771989</v>
      </c>
      <c r="CN55" s="30">
        <v>-1.424964761541188</v>
      </c>
      <c r="CO55" s="30">
        <v>-1.4175279744726006</v>
      </c>
      <c r="CP55" s="30">
        <v>0.069764628219317337</v>
      </c>
      <c r="CQ55" s="31">
        <v>0.5</v>
      </c>
      <c r="CR55" s="30">
        <v>0.92225000000000001</v>
      </c>
      <c r="CS55" s="30">
        <v>0.57300000000000006</v>
      </c>
      <c r="CT55" s="30">
        <v>0.34925</v>
      </c>
      <c r="CU55" s="30">
        <v>17.042444157265447</v>
      </c>
      <c r="CV55" s="30">
        <v>30.154668370663774</v>
      </c>
      <c r="CW55" s="30">
        <v>0.052750000000000005</v>
      </c>
      <c r="CX55" s="30">
        <v>4.0876846425113342</v>
      </c>
      <c r="CY55" s="30">
        <v>0.27000000000000002</v>
      </c>
      <c r="CZ55" s="30">
        <v>0.078000000000000014</v>
      </c>
      <c r="DA55" s="30">
        <v>0.30299999999999999</v>
      </c>
      <c r="DB55" s="30">
        <v>47.421903787057609</v>
      </c>
      <c r="DC55" s="30">
        <v>14.005669317535444</v>
      </c>
      <c r="DD55" s="30">
        <v>52.578096212942384</v>
      </c>
      <c r="DE55" s="30">
        <v>-1.4369130693814978</v>
      </c>
      <c r="DF55" s="30">
        <v>-1.5013699044213988</v>
      </c>
      <c r="DG55" s="30">
        <v>0.10796357014573832</v>
      </c>
      <c r="DH55" s="30">
        <v>0</v>
      </c>
      <c r="DI55" s="30">
        <v>0.98566666666666658</v>
      </c>
      <c r="DJ55" s="30">
        <v>0.65700000000000003</v>
      </c>
      <c r="DK55" s="30">
        <v>0.37766666666666665</v>
      </c>
      <c r="DL55" s="30">
        <v>9.1740955507411677</v>
      </c>
      <c r="DM55" s="30">
        <v>14.42684820180885</v>
      </c>
      <c r="DN55" s="30">
        <v>0.038750000000000007</v>
      </c>
      <c r="DO55" s="30">
        <v>5.1157129631526095</v>
      </c>
      <c r="DP55" s="30">
        <v>0.20599999999999999</v>
      </c>
      <c r="DQ55" s="30">
        <v>0.062</v>
      </c>
      <c r="DR55" s="30">
        <v>0.42900000000000005</v>
      </c>
      <c r="DS55" s="30">
        <v>34.527050931406563</v>
      </c>
      <c r="DT55" s="30">
        <v>10.632764556204162</v>
      </c>
      <c r="DU55" s="30">
        <v>65.472949068593437</v>
      </c>
      <c r="DV55" s="30">
        <v>-1.4033719392587776</v>
      </c>
      <c r="DW55" s="30">
        <v>-1.4412260963740617</v>
      </c>
      <c r="DX55" s="30">
        <v>0.13133654221159172</v>
      </c>
      <c r="DY55" s="30">
        <v>1.3333333333333333</v>
      </c>
      <c r="DZ55" s="30">
        <v>1.1225000000000001</v>
      </c>
      <c r="EA55" s="30">
        <v>0.84200000000000008</v>
      </c>
      <c r="EB55" s="30">
        <v>0.36350000000000005</v>
      </c>
      <c r="EC55" s="30">
        <v>17.474772855774603</v>
      </c>
      <c r="ED55" s="30">
        <v>20.801213860399102</v>
      </c>
      <c r="EE55" s="30">
        <v>0.045999999999999999</v>
      </c>
      <c r="EF55" s="30">
        <v>0.24900000000000003</v>
      </c>
      <c r="EG55" s="30">
        <v>0.088500000000000009</v>
      </c>
      <c r="EH55" s="30">
        <v>0.58399999999999996</v>
      </c>
      <c r="EI55" s="30">
        <v>33.844037955034807</v>
      </c>
      <c r="EJ55" s="30">
        <v>12.747399276602874</v>
      </c>
      <c r="EK55" s="30">
        <v>66.155962044965193</v>
      </c>
      <c r="EL55" s="30">
        <v>-1.4031178999064249</v>
      </c>
      <c r="EM55" s="30">
        <v>-1.4768444969065453</v>
      </c>
      <c r="EN55" s="30">
        <v>0.15811654607949793</v>
      </c>
      <c r="EO55" s="30">
        <v>1</v>
      </c>
    </row>
    <row r="56" ht="14.25">
      <c r="A56" s="43" t="s">
        <v>139</v>
      </c>
      <c r="B56" s="43">
        <v>1</v>
      </c>
      <c r="C56" s="55">
        <v>9.0099999999999998</v>
      </c>
      <c r="D56" s="30">
        <v>1.0853333333333335</v>
      </c>
      <c r="E56" s="30">
        <v>1.7500000000000002</v>
      </c>
      <c r="F56" s="30">
        <v>2.8706666666666671</v>
      </c>
      <c r="G56" s="30">
        <v>0.035333333333333335</v>
      </c>
      <c r="H56" s="30">
        <v>10.861707934863606</v>
      </c>
      <c r="I56" s="30">
        <v>17.609509855934093</v>
      </c>
      <c r="J56" s="30">
        <v>0.50266666666666682</v>
      </c>
      <c r="K56" s="30">
        <v>46.217091055042282</v>
      </c>
      <c r="L56" s="30">
        <f>J56/F56</f>
        <v>0.17510450534138414</v>
      </c>
      <c r="M56" s="30">
        <v>-1.5945642174356343</v>
      </c>
      <c r="N56" s="31">
        <v>0.16517105852731526</v>
      </c>
      <c r="O56" s="30">
        <v>0.99780000000000002</v>
      </c>
      <c r="P56" s="30">
        <v>1.1592000000000002</v>
      </c>
      <c r="Q56" s="30">
        <v>2.1756000000000002</v>
      </c>
      <c r="R56" s="30">
        <v>0.018599999999999998</v>
      </c>
      <c r="S56" s="30">
        <v>10.639039933537884</v>
      </c>
      <c r="T56" s="30">
        <v>17.047994890594872</v>
      </c>
      <c r="U56" s="30">
        <v>0.50700000000000001</v>
      </c>
      <c r="V56" s="30">
        <v>51.052020815133474</v>
      </c>
      <c r="W56" s="30">
        <f>U56/Q56</f>
        <v>0.23303916161059016</v>
      </c>
      <c r="X56" s="30">
        <v>-1.499816698249635</v>
      </c>
      <c r="Y56" s="31">
        <v>0.14733203933859371</v>
      </c>
      <c r="Z56" s="32">
        <f>F56-Q56</f>
        <v>0.69506666666666694</v>
      </c>
      <c r="AA56" s="30">
        <v>2.3844000000000003</v>
      </c>
      <c r="AB56" s="30">
        <v>4.8222000000000005</v>
      </c>
      <c r="AC56" s="30">
        <v>0.019800000000000002</v>
      </c>
      <c r="AD56" s="30">
        <v>1.4268000000000001</v>
      </c>
      <c r="AE56" s="30">
        <v>0.9575999999999999</v>
      </c>
      <c r="AF56" s="30">
        <v>11.554740156009396</v>
      </c>
      <c r="AG56" s="30">
        <f>AF56/AA56</f>
        <v>4.8459738953235174</v>
      </c>
      <c r="AH56" s="30">
        <v>-1.9765273682675066</v>
      </c>
      <c r="AI56" s="72">
        <f>(AE56/AA56)*100</f>
        <v>40.161046804227468</v>
      </c>
      <c r="AJ56" s="30">
        <v>2.5632000000000006</v>
      </c>
      <c r="AK56" s="30">
        <v>4.952399999999999</v>
      </c>
      <c r="AL56" s="30">
        <v>0.0252</v>
      </c>
      <c r="AM56" s="30">
        <v>1.5012000000000003</v>
      </c>
      <c r="AN56" s="30">
        <v>1.0619999999999998</v>
      </c>
      <c r="AO56" s="30">
        <v>11.859818553703764</v>
      </c>
      <c r="AP56" s="30">
        <f>AN56/AJ56</f>
        <v>0.41432584269662903</v>
      </c>
      <c r="AQ56" s="30">
        <v>-2.1181303386309693</v>
      </c>
      <c r="AR56" s="45">
        <f>(AN56/AJ56)*100</f>
        <v>41.432584269662904</v>
      </c>
      <c r="AS56" s="46">
        <f>AJ56-AA56</f>
        <v>0.17880000000000029</v>
      </c>
      <c r="AT56" s="46">
        <f>AN56-AE56</f>
        <v>0.10439999999999994</v>
      </c>
      <c r="AU56" s="30">
        <v>4.1290889006972868</v>
      </c>
      <c r="AV56" s="30">
        <v>0.26386577649619702</v>
      </c>
      <c r="AW56" s="30">
        <v>0.46800925367421431</v>
      </c>
      <c r="AX56" s="31">
        <v>0.46840487060358416</v>
      </c>
      <c r="AY56" s="30">
        <v>6.6671999999999993</v>
      </c>
      <c r="AZ56" s="30">
        <v>3.1648000000000005</v>
      </c>
      <c r="BA56" s="30">
        <v>9.9060369874694736</v>
      </c>
      <c r="BB56" s="30">
        <v>1.5313699211722986</v>
      </c>
      <c r="BC56" s="39">
        <v>-2.4794247507400535</v>
      </c>
      <c r="BD56" s="30">
        <v>10.694400000000002</v>
      </c>
      <c r="BE56" s="30">
        <v>5.8715999999999999</v>
      </c>
      <c r="BF56" s="30">
        <v>20.035453505673413</v>
      </c>
      <c r="BG56" s="30">
        <v>1.8878846949734338</v>
      </c>
      <c r="BH56" s="39">
        <v>-2.5416272295885727</v>
      </c>
      <c r="BI56" s="30">
        <v>9.5436000000000014</v>
      </c>
      <c r="BJ56" s="30">
        <v>4.628400000000001</v>
      </c>
      <c r="BK56" s="30">
        <v>28.053894350869506</v>
      </c>
      <c r="BL56" s="30">
        <v>2.9554317172830507</v>
      </c>
      <c r="BM56" s="39">
        <v>-2.9029893456000884</v>
      </c>
      <c r="BN56" s="30">
        <v>10.879200000000001</v>
      </c>
      <c r="BO56" s="30">
        <v>5.9123999999999999</v>
      </c>
      <c r="BP56" s="30">
        <v>36.927568159881389</v>
      </c>
      <c r="BQ56" s="30">
        <v>3.4646645644554219</v>
      </c>
      <c r="BR56" s="39">
        <v>-2.6151571360942194</v>
      </c>
      <c r="BS56" s="30">
        <v>10.822500000000002</v>
      </c>
      <c r="BT56" s="30">
        <v>5.0220000000000002</v>
      </c>
      <c r="BU56" s="30">
        <v>47.894465969523523</v>
      </c>
      <c r="BV56" s="30">
        <v>4.4667455087360768</v>
      </c>
      <c r="BW56" s="39">
        <v>-2.1927846254662264</v>
      </c>
      <c r="BX56" s="30">
        <v>0.25663349520177686</v>
      </c>
      <c r="BY56" s="30">
        <v>0.82192958183994602</v>
      </c>
      <c r="BZ56" s="30">
        <v>0.16379700745491144</v>
      </c>
      <c r="CA56" s="30">
        <v>1.3107500000000001</v>
      </c>
      <c r="CB56" s="30">
        <v>0.88650000000000007</v>
      </c>
      <c r="CC56" s="30">
        <v>0.42424999999999996</v>
      </c>
      <c r="CD56" s="30">
        <v>8.7191676109220158</v>
      </c>
      <c r="CE56" s="30">
        <v>10.093178922261099</v>
      </c>
      <c r="CF56" s="30">
        <v>0.022749999999999999</v>
      </c>
      <c r="CG56" s="30">
        <v>3.1173186915895679</v>
      </c>
      <c r="CH56" s="30">
        <v>0.49800000000000005</v>
      </c>
      <c r="CI56" s="30">
        <v>0.34650000000000003</v>
      </c>
      <c r="CJ56" s="30">
        <v>0.38850000000000001</v>
      </c>
      <c r="CK56" s="30">
        <v>56.780638551031203</v>
      </c>
      <c r="CL56" s="30">
        <v>39.872201656971619</v>
      </c>
      <c r="CM56" s="30">
        <v>43.219361448968797</v>
      </c>
      <c r="CN56" s="30">
        <v>-1.6100380671458159</v>
      </c>
      <c r="CO56" s="30">
        <v>-1.607013933434942</v>
      </c>
      <c r="CP56" s="30">
        <v>0.062195949690363371</v>
      </c>
      <c r="CQ56" s="31">
        <v>0.5</v>
      </c>
      <c r="CR56" s="30">
        <v>2.4077500000000001</v>
      </c>
      <c r="CS56" s="30">
        <v>2.0460000000000003</v>
      </c>
      <c r="CT56" s="30">
        <v>0.36175000000000002</v>
      </c>
      <c r="CU56" s="30">
        <v>17.416924511925401</v>
      </c>
      <c r="CV56" s="30">
        <v>9.9656887470302866</v>
      </c>
      <c r="CW56" s="30">
        <v>0.017749999999999998</v>
      </c>
      <c r="CX56" s="30">
        <v>4.0513792888929059</v>
      </c>
      <c r="CY56" s="30">
        <v>0.85950000000000004</v>
      </c>
      <c r="CZ56" s="30">
        <v>0.59099999999999997</v>
      </c>
      <c r="DA56" s="30">
        <v>1.1865000000000001</v>
      </c>
      <c r="DB56" s="30">
        <v>51.477200577200577</v>
      </c>
      <c r="DC56" s="30">
        <v>34.637121212121215</v>
      </c>
      <c r="DD56" s="30">
        <v>48.522799422799423</v>
      </c>
      <c r="DE56" s="30">
        <v>-1.7625371361494504</v>
      </c>
      <c r="DF56" s="30">
        <v>-1.67848185290848</v>
      </c>
      <c r="DG56" s="30">
        <v>0.21888465932612372</v>
      </c>
      <c r="DH56" s="30">
        <v>3</v>
      </c>
      <c r="DI56" s="30">
        <v>1.9087500000000002</v>
      </c>
      <c r="DJ56" s="30">
        <v>1.4220000000000002</v>
      </c>
      <c r="DK56" s="30">
        <v>0.48675000000000007</v>
      </c>
      <c r="DL56" s="30">
        <v>8.7099510593909528</v>
      </c>
      <c r="DM56" s="30">
        <v>6.2993744308799293</v>
      </c>
      <c r="DN56" s="30">
        <v>0.038249999999999999</v>
      </c>
      <c r="DO56" s="30">
        <v>5.1067275904755931</v>
      </c>
      <c r="DP56" s="30">
        <v>0.57150000000000012</v>
      </c>
      <c r="DQ56" s="30">
        <v>0.13650000000000001</v>
      </c>
      <c r="DR56" s="30">
        <v>0.85050000000000003</v>
      </c>
      <c r="DS56" s="30">
        <v>41.275638154948503</v>
      </c>
      <c r="DT56" s="30">
        <v>8.9247930868620529</v>
      </c>
      <c r="DU56" s="30">
        <v>58.724361845051497</v>
      </c>
      <c r="DV56" s="30">
        <v>-1.693102046028742</v>
      </c>
      <c r="DW56" s="30">
        <v>-1.6600051114952783</v>
      </c>
      <c r="DX56" s="30">
        <v>0.13671153510073991</v>
      </c>
      <c r="DY56" s="30">
        <v>1.75</v>
      </c>
      <c r="DZ56" s="30">
        <v>2.3675000000000002</v>
      </c>
      <c r="EA56" s="30">
        <v>1.8675000000000002</v>
      </c>
      <c r="EB56" s="30">
        <v>0.5</v>
      </c>
      <c r="EC56" s="30">
        <v>16.860331634667091</v>
      </c>
      <c r="ED56" s="30">
        <v>9.5445137409213849</v>
      </c>
      <c r="EE56" s="30">
        <v>0.040000000000000001</v>
      </c>
      <c r="EF56" s="30">
        <v>0.73050000000000004</v>
      </c>
      <c r="EG56" s="30">
        <v>0.49800000000000005</v>
      </c>
      <c r="EH56" s="30">
        <v>1.137</v>
      </c>
      <c r="EI56" s="30">
        <v>39.957230566252449</v>
      </c>
      <c r="EJ56" s="30">
        <v>25.55892730179475</v>
      </c>
      <c r="EK56" s="30">
        <v>60.042769433747551</v>
      </c>
      <c r="EL56" s="30">
        <v>-1.6517767564643191</v>
      </c>
      <c r="EM56" s="30">
        <v>-1.7013141257952884</v>
      </c>
      <c r="EN56" s="30">
        <v>0.13805800586915318</v>
      </c>
      <c r="EO56" s="30">
        <v>2.5</v>
      </c>
    </row>
    <row r="57" ht="14.25">
      <c r="A57" s="62" t="s">
        <v>138</v>
      </c>
      <c r="B57" s="52">
        <v>2</v>
      </c>
      <c r="C57" s="63">
        <v>9.0099999999999998</v>
      </c>
      <c r="D57" s="30">
        <v>0.78420000000000001</v>
      </c>
      <c r="E57" s="30">
        <v>1.0356000000000001</v>
      </c>
      <c r="F57" s="30">
        <v>1.8630000000000002</v>
      </c>
      <c r="G57" s="30">
        <v>0.043200000000000002</v>
      </c>
      <c r="H57" s="30">
        <v>10.582391729456386</v>
      </c>
      <c r="I57" s="30">
        <v>17.358600803603927</v>
      </c>
      <c r="J57" s="30">
        <v>0.44460000000000005</v>
      </c>
      <c r="K57" s="30">
        <v>56.845079141443286</v>
      </c>
      <c r="L57" s="30">
        <f>J57/F57</f>
        <v>0.23864734299516907</v>
      </c>
      <c r="M57" s="30">
        <v>-1.4834669076700959</v>
      </c>
      <c r="N57" s="31">
        <v>0.1543491119406267</v>
      </c>
      <c r="O57" s="30">
        <v>0.82260000000000011</v>
      </c>
      <c r="P57" s="30">
        <v>0.7824000000000001</v>
      </c>
      <c r="Q57" s="30">
        <v>1.6602000000000003</v>
      </c>
      <c r="R57" s="30">
        <v>0.055200000000000013</v>
      </c>
      <c r="S57" s="30">
        <v>10.385952503181311</v>
      </c>
      <c r="T57" s="30">
        <v>16.980262176068294</v>
      </c>
      <c r="U57" s="30">
        <v>0.53459999999999996</v>
      </c>
      <c r="V57" s="30">
        <v>61.349967367377111</v>
      </c>
      <c r="W57" s="30">
        <f>U57/Q57</f>
        <v>0.32200939645825793</v>
      </c>
      <c r="X57" s="30">
        <v>-1.5271206840695468</v>
      </c>
      <c r="Y57" s="31">
        <v>0.14449393757618006</v>
      </c>
      <c r="Z57" s="32">
        <f>F57-Q57</f>
        <v>0.20279999999999987</v>
      </c>
      <c r="AA57" s="30">
        <v>2.9740000000000006</v>
      </c>
      <c r="AB57" s="30">
        <v>6.4219999999999997</v>
      </c>
      <c r="AC57" s="30">
        <v>0.02066666666666667</v>
      </c>
      <c r="AD57" s="30">
        <v>1.7013333333333334</v>
      </c>
      <c r="AE57" s="30">
        <v>1.2726666666666668</v>
      </c>
      <c r="AF57" s="30">
        <v>11.381606966448283</v>
      </c>
      <c r="AG57" s="30">
        <f>AF57/AA57</f>
        <v>3.8270366396934365</v>
      </c>
      <c r="AH57" s="30">
        <v>-2.6464575110824149</v>
      </c>
      <c r="AI57" s="72">
        <f>(AE57/AA57)*100</f>
        <v>42.793095718448775</v>
      </c>
      <c r="AJ57" s="30">
        <v>3.1133333333333337</v>
      </c>
      <c r="AK57" s="30">
        <v>5.4413333333333345</v>
      </c>
      <c r="AL57" s="30">
        <v>0.039333333333333338</v>
      </c>
      <c r="AM57" s="30">
        <v>1.6373333333333333</v>
      </c>
      <c r="AN57" s="30">
        <v>1.476</v>
      </c>
      <c r="AO57" s="30">
        <v>11.6046020645881</v>
      </c>
      <c r="AP57" s="30">
        <f>AN57/AJ57</f>
        <v>0.47408993576017122</v>
      </c>
      <c r="AQ57" s="30">
        <v>-2.6538483321702389</v>
      </c>
      <c r="AR57" s="45">
        <f>(AN57/AJ57)*100</f>
        <v>47.408993576017124</v>
      </c>
      <c r="AS57" s="46">
        <f>AJ57-AA57</f>
        <v>0.13933333333333309</v>
      </c>
      <c r="AT57" s="46">
        <f>AN57-AE57</f>
        <v>0.20333333333333314</v>
      </c>
      <c r="AU57" s="30">
        <v>1.3739271778632007</v>
      </c>
      <c r="AV57" s="30">
        <v>0.48880750744353907</v>
      </c>
      <c r="AW57" s="30">
        <v>0.84824406644191785</v>
      </c>
      <c r="AX57" s="31">
        <v>0.84827589805675385</v>
      </c>
      <c r="AY57" s="30">
        <v>4.3032000000000004</v>
      </c>
      <c r="AZ57" s="30">
        <v>2.0920000000000001</v>
      </c>
      <c r="BA57" s="30">
        <v>10.220277941645753</v>
      </c>
      <c r="BB57" s="30">
        <v>2.4041859147527767</v>
      </c>
      <c r="BC57" s="39">
        <v>-2.5100077538992336</v>
      </c>
      <c r="BD57" s="30">
        <v>6.0695999999999994</v>
      </c>
      <c r="BE57" s="30">
        <v>2.8392000000000004</v>
      </c>
      <c r="BF57" s="30">
        <v>19.893371541666827</v>
      </c>
      <c r="BG57" s="30">
        <v>3.3713798993655786</v>
      </c>
      <c r="BH57" s="39">
        <v>-2.5414390835271496</v>
      </c>
      <c r="BI57" s="30">
        <v>7.030800000000001</v>
      </c>
      <c r="BJ57" s="30">
        <v>3.2831999999999999</v>
      </c>
      <c r="BK57" s="30">
        <v>29.171860861126099</v>
      </c>
      <c r="BL57" s="30">
        <v>4.1567155217952694</v>
      </c>
      <c r="BM57" s="39">
        <v>-2.4377842980170223</v>
      </c>
      <c r="BN57" s="30">
        <v>7.9104000000000001</v>
      </c>
      <c r="BO57" s="30">
        <v>3.6888000000000005</v>
      </c>
      <c r="BP57" s="30">
        <v>38.810951934008827</v>
      </c>
      <c r="BQ57" s="30">
        <v>4.9223168947055438</v>
      </c>
      <c r="BR57" s="39">
        <v>-2.4234642866510332</v>
      </c>
      <c r="BS57" s="30">
        <v>9.3924000000000003</v>
      </c>
      <c r="BT57" s="30">
        <v>4.6788000000000007</v>
      </c>
      <c r="BU57" s="30">
        <v>48.130609266911151</v>
      </c>
      <c r="BV57" s="30">
        <v>5.1618760168523137</v>
      </c>
      <c r="BW57" s="39">
        <v>-2.4189538636908297</v>
      </c>
      <c r="BX57" s="49">
        <v>0.14506853156265023</v>
      </c>
      <c r="BY57" s="49">
        <v>0.64902857448759588</v>
      </c>
      <c r="BZ57" s="49">
        <v>0.47264004150746086</v>
      </c>
      <c r="CA57" s="30">
        <v>1.1012500000000003</v>
      </c>
      <c r="CB57" s="30">
        <v>0.75150000000000006</v>
      </c>
      <c r="CC57" s="30">
        <v>0.34975000000000001</v>
      </c>
      <c r="CD57" s="30">
        <v>8.6159988147381625</v>
      </c>
      <c r="CE57" s="30">
        <v>11.488409477940415</v>
      </c>
      <c r="CF57" s="30">
        <v>0.044750000000000005</v>
      </c>
      <c r="CG57" s="30">
        <v>3.0955980036274444</v>
      </c>
      <c r="CH57" s="30">
        <v>0.40350000000000003</v>
      </c>
      <c r="CI57" s="30">
        <v>0.17400000000000002</v>
      </c>
      <c r="CJ57" s="30">
        <v>0.34800000000000003</v>
      </c>
      <c r="CK57" s="30">
        <v>53.604195040952263</v>
      </c>
      <c r="CL57" s="30">
        <v>22.764813709210991</v>
      </c>
      <c r="CM57" s="30">
        <v>46.395804959047737</v>
      </c>
      <c r="CN57" s="30">
        <v>-1.5234534377414866</v>
      </c>
      <c r="CO57" s="30">
        <v>-1.6381812969012173</v>
      </c>
      <c r="CP57" s="30">
        <v>0.065834033149403684</v>
      </c>
      <c r="CQ57" s="31">
        <v>0.25</v>
      </c>
      <c r="CR57" s="30">
        <v>1.294</v>
      </c>
      <c r="CS57" s="30">
        <v>0.93450000000000011</v>
      </c>
      <c r="CT57" s="30">
        <v>0.35949999999999993</v>
      </c>
      <c r="CU57" s="30">
        <v>16.625942260205079</v>
      </c>
      <c r="CV57" s="30">
        <v>17.958009414398905</v>
      </c>
      <c r="CW57" s="30">
        <v>0.051500000000000004</v>
      </c>
      <c r="CX57" s="30">
        <v>4.0497289910033789</v>
      </c>
      <c r="CY57" s="30">
        <v>0.35399999999999998</v>
      </c>
      <c r="CZ57" s="30">
        <v>0.1125</v>
      </c>
      <c r="DA57" s="30">
        <v>0.58050000000000002</v>
      </c>
      <c r="DB57" s="30">
        <v>38.022272118947072</v>
      </c>
      <c r="DC57" s="30">
        <v>11.74800575372744</v>
      </c>
      <c r="DD57" s="30">
        <v>61.977727881052928</v>
      </c>
      <c r="DE57" s="30">
        <v>-1.5455780850133665</v>
      </c>
      <c r="DF57" s="30">
        <v>-1.5923762253683553</v>
      </c>
      <c r="DG57" s="30">
        <v>0.13018390349005232</v>
      </c>
      <c r="DH57" s="30">
        <v>0.75</v>
      </c>
      <c r="DI57" s="30">
        <v>1.262</v>
      </c>
      <c r="DJ57" s="30">
        <v>0.93149999999999999</v>
      </c>
      <c r="DK57" s="30">
        <v>0.33050000000000002</v>
      </c>
      <c r="DL57" s="30">
        <v>8.6375075320448218</v>
      </c>
      <c r="DM57" s="30">
        <v>9.3490820612154515</v>
      </c>
      <c r="DN57" s="30">
        <v>0.064000000000000001</v>
      </c>
      <c r="DO57" s="30">
        <v>5.1025550592715252</v>
      </c>
      <c r="DP57" s="30">
        <v>0.30449999999999999</v>
      </c>
      <c r="DQ57" s="30">
        <v>0.13650000000000001</v>
      </c>
      <c r="DR57" s="30">
        <v>0.627</v>
      </c>
      <c r="DS57" s="30">
        <v>32.335835248189113</v>
      </c>
      <c r="DT57" s="30">
        <v>14.734122099886159</v>
      </c>
      <c r="DU57" s="30">
        <v>67.664164751810887</v>
      </c>
      <c r="DV57" s="30">
        <v>-1.5217828924477108</v>
      </c>
      <c r="DW57" s="30">
        <v>-1.5218217354339512</v>
      </c>
      <c r="DX57" s="30">
        <v>0.057791577366359183</v>
      </c>
      <c r="DY57" s="30">
        <v>1.25</v>
      </c>
      <c r="DZ57" s="30">
        <v>1.5965000000000003</v>
      </c>
      <c r="EA57" s="30">
        <v>1.1625000000000001</v>
      </c>
      <c r="EB57" s="30">
        <v>0.43400000000000005</v>
      </c>
      <c r="EC57" s="30">
        <v>16.883314817271895</v>
      </c>
      <c r="ED57" s="30">
        <v>14.947141634266833</v>
      </c>
      <c r="EE57" s="30">
        <v>0.042999999999999997</v>
      </c>
      <c r="EF57" s="30">
        <v>0.46799999999999997</v>
      </c>
      <c r="EG57" s="30">
        <v>0.21300000000000002</v>
      </c>
      <c r="EH57" s="30">
        <v>0.69450000000000001</v>
      </c>
      <c r="EI57" s="30">
        <v>38.111998046636572</v>
      </c>
      <c r="EJ57" s="30">
        <v>16.160409921382023</v>
      </c>
      <c r="EK57" s="30">
        <v>61.888001953363414</v>
      </c>
      <c r="EL57" s="30">
        <v>-1.5024163836778393</v>
      </c>
      <c r="EM57" s="30">
        <v>-1.5956744088192611</v>
      </c>
      <c r="EN57" s="30">
        <v>0.10494272200211734</v>
      </c>
      <c r="EO57" s="30">
        <v>1.5</v>
      </c>
    </row>
    <row r="58" ht="14.25">
      <c r="A58" s="42" t="s">
        <v>138</v>
      </c>
      <c r="B58" s="52">
        <v>1</v>
      </c>
      <c r="C58" s="55">
        <v>9.0099999999999998</v>
      </c>
      <c r="D58" s="30">
        <v>0.76080000000000003</v>
      </c>
      <c r="E58" s="30">
        <v>1.0650000000000002</v>
      </c>
      <c r="F58" s="30">
        <v>1.8324000000000003</v>
      </c>
      <c r="G58" s="30">
        <v>0.0066</v>
      </c>
      <c r="H58" s="30">
        <v>10.334585812160011</v>
      </c>
      <c r="I58" s="30">
        <v>17.538589154492069</v>
      </c>
      <c r="J58" s="30">
        <v>0.44400000000000006</v>
      </c>
      <c r="K58" s="30">
        <v>56.602545044166163</v>
      </c>
      <c r="L58" s="30">
        <f>J58/F58</f>
        <v>0.24230517354289458</v>
      </c>
      <c r="M58" s="30">
        <v>-1.4976624869058337</v>
      </c>
      <c r="N58" s="31">
        <v>0.1328446718221695</v>
      </c>
      <c r="O58" s="30">
        <v>0.71400000000000008</v>
      </c>
      <c r="P58" s="30">
        <v>0.8680000000000001</v>
      </c>
      <c r="Q58" s="30">
        <v>1.5866666666666669</v>
      </c>
      <c r="R58" s="30">
        <v>0.0046666666666666671</v>
      </c>
      <c r="S58" s="30">
        <v>10.372986955164677</v>
      </c>
      <c r="T58" s="30">
        <v>17.179624919848475</v>
      </c>
      <c r="U58" s="30">
        <v>0.37866666666666665</v>
      </c>
      <c r="V58" s="30">
        <v>52.5001680661181</v>
      </c>
      <c r="W58" s="30">
        <f>U58/Q58</f>
        <v>0.23865546218487391</v>
      </c>
      <c r="X58" s="30">
        <v>-1.5202409273783732</v>
      </c>
      <c r="Y58" s="31">
        <v>0.10210466489502805</v>
      </c>
      <c r="Z58" s="32">
        <f>F58-Q58</f>
        <v>0.24573333333333336</v>
      </c>
      <c r="AA58" s="30">
        <v>2.2698</v>
      </c>
      <c r="AB58" s="30">
        <v>4.9733999999999998</v>
      </c>
      <c r="AC58" s="30">
        <v>0.23219999999999996</v>
      </c>
      <c r="AD58" s="30">
        <v>1.1994</v>
      </c>
      <c r="AE58" s="30">
        <v>1.0703999999999998</v>
      </c>
      <c r="AF58" s="30">
        <v>11.224600588918634</v>
      </c>
      <c r="AG58" s="30">
        <f>AF58/AA58</f>
        <v>4.9451936685693161</v>
      </c>
      <c r="AH58" s="30">
        <v>-2.4757465205022595</v>
      </c>
      <c r="AI58" s="72">
        <f>(AE58/AA58)*100</f>
        <v>47.158339941845085</v>
      </c>
      <c r="AJ58" s="30">
        <v>2.8666666666666671</v>
      </c>
      <c r="AK58" s="30">
        <v>5.0966666666666676</v>
      </c>
      <c r="AL58" s="30">
        <v>0.036666666666666674</v>
      </c>
      <c r="AM58" s="30">
        <v>1.5140000000000002</v>
      </c>
      <c r="AN58" s="30">
        <v>1.3526666666666669</v>
      </c>
      <c r="AO58" s="30">
        <v>11.880255449492635</v>
      </c>
      <c r="AP58" s="30">
        <f>AN58/AJ58</f>
        <v>0.47186046511627905</v>
      </c>
      <c r="AQ58" s="30">
        <v>-2.5714603748889049</v>
      </c>
      <c r="AR58" s="45">
        <f>(AN58/AJ58)*100</f>
        <v>47.186046511627907</v>
      </c>
      <c r="AS58" s="46">
        <f>AJ58-AA58</f>
        <v>0.5968666666666671</v>
      </c>
      <c r="AT58" s="46">
        <f>AN58-AE58</f>
        <v>0.28226666666666711</v>
      </c>
      <c r="AU58" s="30">
        <v>2.754768855658432</v>
      </c>
      <c r="AV58" s="30">
        <v>0.20326123716637115</v>
      </c>
      <c r="AW58" s="30">
        <v>0.10757767530179796</v>
      </c>
      <c r="AX58" s="31">
        <v>0.10761015745233729</v>
      </c>
      <c r="AY58" s="30">
        <v>4.3308</v>
      </c>
      <c r="AZ58" s="30">
        <v>1.8744000000000001</v>
      </c>
      <c r="BA58" s="30">
        <v>10.237641707613893</v>
      </c>
      <c r="BB58" s="30">
        <v>2.4958559139605496</v>
      </c>
      <c r="BC58" s="39">
        <v>-2.4596918501145963</v>
      </c>
      <c r="BD58" s="30">
        <v>6.402000000000001</v>
      </c>
      <c r="BE58" s="30">
        <v>2.7072000000000003</v>
      </c>
      <c r="BF58" s="30">
        <v>19.956013756237176</v>
      </c>
      <c r="BG58" s="30">
        <v>3.2046706427819429</v>
      </c>
      <c r="BH58" s="39">
        <v>-2.8397364356154475</v>
      </c>
      <c r="BI58" s="30">
        <v>3.0300000000000002</v>
      </c>
      <c r="BJ58" s="30">
        <v>1.4328000000000001</v>
      </c>
      <c r="BK58" s="30">
        <v>28.861525627465063</v>
      </c>
      <c r="BL58" s="30">
        <v>9.70730427209784</v>
      </c>
      <c r="BM58" s="39">
        <v>-2.1457088871444321</v>
      </c>
      <c r="BN58" s="30">
        <v>6.7679999999999989</v>
      </c>
      <c r="BO58" s="30">
        <v>2.7792000000000003</v>
      </c>
      <c r="BP58" s="30">
        <v>38.058957539456273</v>
      </c>
      <c r="BQ58" s="30">
        <v>5.8449555402224513</v>
      </c>
      <c r="BR58" s="39">
        <v>-2.4513811980516196</v>
      </c>
      <c r="BS58" s="30">
        <v>6.2460000000000004</v>
      </c>
      <c r="BT58" s="30">
        <v>2.6003999999999996</v>
      </c>
      <c r="BU58" s="30">
        <v>48.425132702397853</v>
      </c>
      <c r="BV58" s="30">
        <v>7.8218660613915159</v>
      </c>
      <c r="BW58" s="39">
        <v>-2.3695407329716303</v>
      </c>
      <c r="BX58" s="49">
        <v>-0.16974805699136453</v>
      </c>
      <c r="BY58" s="49">
        <v>2.636108527507095</v>
      </c>
      <c r="BZ58" s="49">
        <v>0.017450327604794924</v>
      </c>
      <c r="CA58" s="30">
        <v>1.4387500000000002</v>
      </c>
      <c r="CB58" s="30">
        <v>0.873</v>
      </c>
      <c r="CC58" s="30">
        <v>0.56575000000000009</v>
      </c>
      <c r="CD58" s="30">
        <v>8.2680316056043477</v>
      </c>
      <c r="CE58" s="30">
        <v>10.0541454924367</v>
      </c>
      <c r="CF58" s="30">
        <v>0.046249999999999999</v>
      </c>
      <c r="CG58" s="30">
        <v>3.0428158837021786</v>
      </c>
      <c r="CH58" s="30">
        <v>0.43950000000000006</v>
      </c>
      <c r="CI58" s="30">
        <v>0.189</v>
      </c>
      <c r="CJ58" s="30">
        <v>0.43350000000000011</v>
      </c>
      <c r="CK58" s="30">
        <v>47.106450137565702</v>
      </c>
      <c r="CL58" s="30">
        <v>20.08208489063616</v>
      </c>
      <c r="CM58" s="30">
        <v>52.893549862434291</v>
      </c>
      <c r="CN58" s="30">
        <v>-1.5710009491101475</v>
      </c>
      <c r="CO58" s="30">
        <v>-1.6003766250720699</v>
      </c>
      <c r="CP58" s="30">
        <v>0.048398389075942849</v>
      </c>
      <c r="CQ58" s="31">
        <v>0.5</v>
      </c>
      <c r="CR58" s="30">
        <v>3.2440000000000007</v>
      </c>
      <c r="CS58" s="30">
        <v>1.4415</v>
      </c>
      <c r="CT58" s="30">
        <v>1.8025000000000007</v>
      </c>
      <c r="CU58" s="30">
        <v>16.745196356453615</v>
      </c>
      <c r="CV58" s="30">
        <v>11.64342021821118</v>
      </c>
      <c r="CW58" s="30">
        <v>0.048499999999999995</v>
      </c>
      <c r="CX58" s="30">
        <v>4.0593366996239357</v>
      </c>
      <c r="CY58" s="30">
        <v>0.9375</v>
      </c>
      <c r="CZ58" s="30">
        <v>0.50249999999999995</v>
      </c>
      <c r="DA58" s="30">
        <v>0.50400000000000011</v>
      </c>
      <c r="DB58" s="30">
        <v>65.146014385144824</v>
      </c>
      <c r="DC58" s="30">
        <v>34.82786157338586</v>
      </c>
      <c r="DD58" s="30">
        <v>34.853985614855183</v>
      </c>
      <c r="DE58" s="30">
        <v>-1.697571167579514</v>
      </c>
      <c r="DF58" s="30">
        <v>-1.8747064293303215</v>
      </c>
      <c r="DG58" s="30">
        <v>0.15126066730267182</v>
      </c>
      <c r="DH58" s="30">
        <v>1</v>
      </c>
      <c r="DI58" s="30">
        <v>1.10975</v>
      </c>
      <c r="DJ58" s="30">
        <v>0.87600000000000011</v>
      </c>
      <c r="DK58" s="30">
        <v>0.23374999999999999</v>
      </c>
      <c r="DL58" s="30">
        <v>8.6224736170399403</v>
      </c>
      <c r="DM58" s="30">
        <v>10.146305120063106</v>
      </c>
      <c r="DN58" s="30">
        <v>0.03925</v>
      </c>
      <c r="DO58" s="30">
        <v>5.1057001007633565</v>
      </c>
      <c r="DP58" s="30">
        <v>0.40350000000000008</v>
      </c>
      <c r="DQ58" s="30">
        <v>0.11400000000000002</v>
      </c>
      <c r="DR58" s="30">
        <v>0.47250000000000003</v>
      </c>
      <c r="DS58" s="30">
        <v>46.104699023774167</v>
      </c>
      <c r="DT58" s="30">
        <v>12.806369164750667</v>
      </c>
      <c r="DU58" s="30">
        <v>53.89530097622584</v>
      </c>
      <c r="DV58" s="30">
        <v>-1.6230609113458843</v>
      </c>
      <c r="DW58" s="30">
        <v>-1.6845662259664933</v>
      </c>
      <c r="DX58" s="30">
        <v>0.053785063015045508</v>
      </c>
      <c r="DY58" s="30">
        <v>0.33333333333333331</v>
      </c>
      <c r="DZ58" s="30">
        <v>1.6500000000000004</v>
      </c>
      <c r="EA58" s="30">
        <v>1.3560000000000001</v>
      </c>
      <c r="EB58" s="30">
        <v>0.29400000000000004</v>
      </c>
      <c r="EC58" s="30">
        <v>16.78029335661898</v>
      </c>
      <c r="ED58" s="30">
        <v>13.016987010977227</v>
      </c>
      <c r="EE58" s="30">
        <v>0.067500000000000004</v>
      </c>
      <c r="EF58" s="30">
        <v>0.67349999999999999</v>
      </c>
      <c r="EG58" s="30">
        <v>0.37650000000000006</v>
      </c>
      <c r="EH58" s="30">
        <v>0.68250000000000011</v>
      </c>
      <c r="EI58" s="30">
        <v>48.127788738412264</v>
      </c>
      <c r="EJ58" s="30">
        <v>24.258463450551716</v>
      </c>
      <c r="EK58" s="30">
        <v>51.872211261587736</v>
      </c>
      <c r="EL58" s="30">
        <v>-1.6350154603720874</v>
      </c>
      <c r="EM58" s="30">
        <v>-1.7624366748358669</v>
      </c>
      <c r="EN58" s="30">
        <v>0.058779568506108659</v>
      </c>
      <c r="EO58" s="30">
        <v>1.25</v>
      </c>
    </row>
    <row r="59" ht="14.25">
      <c r="A59" s="42" t="s">
        <v>139</v>
      </c>
      <c r="B59" s="43">
        <v>2</v>
      </c>
      <c r="C59" s="43">
        <v>9.0199999999999996</v>
      </c>
      <c r="D59" s="30">
        <v>0.65820000000000012</v>
      </c>
      <c r="E59" s="30">
        <v>1.0356000000000001</v>
      </c>
      <c r="F59" s="30">
        <v>1.7525999999999999</v>
      </c>
      <c r="G59" s="30">
        <v>0.058800000000000005</v>
      </c>
      <c r="H59" s="30">
        <v>10.534227765079269</v>
      </c>
      <c r="I59" s="30">
        <v>17.92933091513213</v>
      </c>
      <c r="J59" s="30">
        <v>0.32040000000000002</v>
      </c>
      <c r="K59" s="30">
        <v>48.977319418090914</v>
      </c>
      <c r="L59" s="30">
        <f>J59/F59</f>
        <v>0.18281410475864432</v>
      </c>
      <c r="M59" s="30">
        <v>-1.4710166505131073</v>
      </c>
      <c r="N59" s="31">
        <v>0.12188549955193306</v>
      </c>
      <c r="O59" s="30">
        <v>0.63133333333333341</v>
      </c>
      <c r="P59" s="30">
        <v>0.78733333333333333</v>
      </c>
      <c r="Q59" s="30">
        <v>1.4186666666666667</v>
      </c>
      <c r="R59" s="30">
        <v>0</v>
      </c>
      <c r="S59" s="30">
        <v>10.213617096535806</v>
      </c>
      <c r="T59" s="30">
        <v>17.470033013952417</v>
      </c>
      <c r="U59" s="30">
        <v>0.28666666666666663</v>
      </c>
      <c r="V59" s="30">
        <v>45.598144702668115</v>
      </c>
      <c r="W59" s="30">
        <f>U59/Q59</f>
        <v>0.20206766917293228</v>
      </c>
      <c r="X59" s="30">
        <v>-1.4768925768429362</v>
      </c>
      <c r="Y59" s="31">
        <v>0.14963690470104971</v>
      </c>
      <c r="Z59" s="32">
        <f>F59-Q59</f>
        <v>0.33393333333333319</v>
      </c>
      <c r="AA59" s="30">
        <v>2.2753333333333337</v>
      </c>
      <c r="AB59" s="30">
        <v>4.4640000000000004</v>
      </c>
      <c r="AC59" s="30">
        <v>0.013333333333333334</v>
      </c>
      <c r="AD59" s="30">
        <v>1.1806666666666668</v>
      </c>
      <c r="AE59" s="30">
        <v>1.0946666666666667</v>
      </c>
      <c r="AF59" s="30">
        <v>11.440091778006298</v>
      </c>
      <c r="AG59" s="30">
        <f>AF59/AA59</f>
        <v>5.027875085557997</v>
      </c>
      <c r="AH59" s="30">
        <v>-2.624555989812384</v>
      </c>
      <c r="AI59" s="72">
        <f>(AE59/AA59)*100</f>
        <v>48.110167008496916</v>
      </c>
      <c r="AJ59" s="30">
        <v>1.8006</v>
      </c>
      <c r="AK59" s="30">
        <v>3.1404000000000001</v>
      </c>
      <c r="AL59" s="30">
        <v>0.012600000000000004</v>
      </c>
      <c r="AM59" s="30">
        <v>0.95940000000000014</v>
      </c>
      <c r="AN59" s="30">
        <v>0.84119999999999995</v>
      </c>
      <c r="AO59" s="30">
        <v>11.375614965340308</v>
      </c>
      <c r="AP59" s="30">
        <f>AN59/AJ59</f>
        <v>0.46717760746417858</v>
      </c>
      <c r="AQ59" s="30">
        <v>-2.637239484428668</v>
      </c>
      <c r="AR59" s="45">
        <f>(AN59/AJ59)*100</f>
        <v>46.717760746417859</v>
      </c>
      <c r="AS59" s="46">
        <f>AJ59-AA59</f>
        <v>-0.47473333333333367</v>
      </c>
      <c r="AT59" s="46">
        <f>AN59-AE59</f>
        <v>-0.25346666666666673</v>
      </c>
      <c r="AU59" s="30">
        <v>0.30941582579373367</v>
      </c>
      <c r="AV59" s="30">
        <v>0.86053056871447653</v>
      </c>
      <c r="AW59" s="30">
        <v>0.40223163073121682</v>
      </c>
      <c r="AX59" s="31">
        <v>0.40518310314089107</v>
      </c>
      <c r="AY59" s="30">
        <v>2.6368</v>
      </c>
      <c r="AZ59" s="30">
        <v>1.3336000000000001</v>
      </c>
      <c r="BA59" s="30">
        <v>9.4706661627619155</v>
      </c>
      <c r="BB59" s="30">
        <v>3.6276282183502375</v>
      </c>
      <c r="BC59" s="39">
        <v>-2.3379292570861026</v>
      </c>
      <c r="BD59" s="30">
        <v>5.7935999999999996</v>
      </c>
      <c r="BE59" s="30">
        <v>2.7564000000000002</v>
      </c>
      <c r="BF59" s="30">
        <v>19.678006276734216</v>
      </c>
      <c r="BG59" s="30">
        <v>3.4321201390659652</v>
      </c>
      <c r="BH59" s="39">
        <v>-2.4327287521699419</v>
      </c>
      <c r="BI59" s="30">
        <v>3.6936</v>
      </c>
      <c r="BJ59" s="30">
        <v>1.8431999999999999</v>
      </c>
      <c r="BK59" s="30">
        <v>28.424316937423633</v>
      </c>
      <c r="BL59" s="30">
        <v>7.765532744428552</v>
      </c>
      <c r="BM59" s="39">
        <v>-2.3935209435671929</v>
      </c>
      <c r="BN59" s="30">
        <v>5.0448000000000004</v>
      </c>
      <c r="BO59" s="30">
        <v>2.5236000000000001</v>
      </c>
      <c r="BP59" s="30">
        <v>38.451133173826449</v>
      </c>
      <c r="BQ59" s="30">
        <v>7.6499957315352249</v>
      </c>
      <c r="BR59" s="39">
        <v>-2.2652323246220218</v>
      </c>
      <c r="BS59" s="30">
        <v>10.7052</v>
      </c>
      <c r="BT59" s="30">
        <v>4.8864000000000001</v>
      </c>
      <c r="BU59" s="30">
        <v>48.270716431733753</v>
      </c>
      <c r="BV59" s="30">
        <v>5.2047970453679024</v>
      </c>
      <c r="BW59" s="39">
        <v>-2.4698771045150996</v>
      </c>
      <c r="BX59" s="30">
        <v>0.17012290267086413</v>
      </c>
      <c r="BY59" s="30">
        <v>0.26839181495836273</v>
      </c>
      <c r="BZ59" s="30">
        <v>0.59214670460584129</v>
      </c>
      <c r="CA59" s="30">
        <v>0.78875000000000006</v>
      </c>
      <c r="CB59" s="30">
        <v>0.71100000000000008</v>
      </c>
      <c r="CC59" s="30">
        <v>0.07775</v>
      </c>
      <c r="CD59" s="30">
        <v>8.0057421915507447</v>
      </c>
      <c r="CE59" s="30">
        <v>11.328689078899027</v>
      </c>
      <c r="CF59" s="30">
        <v>0.048250000000000001</v>
      </c>
      <c r="CG59" s="30">
        <v>2.9952010790984236</v>
      </c>
      <c r="CH59" s="30">
        <v>0.35700000000000004</v>
      </c>
      <c r="CI59" s="30">
        <v>0.2535</v>
      </c>
      <c r="CJ59" s="30">
        <v>0.35400000000000004</v>
      </c>
      <c r="CK59" s="30">
        <v>49.439039759634738</v>
      </c>
      <c r="CL59" s="30">
        <v>34.888289590124451</v>
      </c>
      <c r="CM59" s="30">
        <v>50.560960240365262</v>
      </c>
      <c r="CN59" s="30">
        <v>-1.5720921734608295</v>
      </c>
      <c r="CO59" s="30">
        <v>-1.5751810892824163</v>
      </c>
      <c r="CP59" s="30">
        <v>0.069684734796162162</v>
      </c>
      <c r="CQ59" s="31">
        <v>0</v>
      </c>
      <c r="CR59" s="30">
        <v>1.0140000000000002</v>
      </c>
      <c r="CS59" s="30">
        <v>0.95550000000000013</v>
      </c>
      <c r="CT59" s="30">
        <v>0.058499999999999996</v>
      </c>
      <c r="CU59" s="30">
        <v>16.979763888447685</v>
      </c>
      <c r="CV59" s="30">
        <v>18.005164693559003</v>
      </c>
      <c r="CW59" s="30">
        <v>0.040500000000000001</v>
      </c>
      <c r="CX59" s="30">
        <v>4.0827979049934955</v>
      </c>
      <c r="CY59" s="30">
        <v>0.57150000000000001</v>
      </c>
      <c r="CZ59" s="30">
        <v>0.36899999999999999</v>
      </c>
      <c r="DA59" s="30">
        <v>0.38400000000000001</v>
      </c>
      <c r="DB59" s="30">
        <v>58.986082355647582</v>
      </c>
      <c r="DC59" s="30">
        <v>37.351621808143541</v>
      </c>
      <c r="DD59" s="30">
        <v>41.013917644352425</v>
      </c>
      <c r="DE59" s="30">
        <v>-1.4775723265481884</v>
      </c>
      <c r="DF59" s="30">
        <v>-1.7240490828419088</v>
      </c>
      <c r="DG59" s="30">
        <v>0.1400077212550972</v>
      </c>
      <c r="DH59" s="30">
        <v>0</v>
      </c>
      <c r="DI59" s="30">
        <v>0.98975000000000013</v>
      </c>
      <c r="DJ59" s="30">
        <v>0.90600000000000003</v>
      </c>
      <c r="DK59" s="30">
        <v>0.023750000000000007</v>
      </c>
      <c r="DL59" s="30">
        <v>8.8480350415213067</v>
      </c>
      <c r="DM59" s="30">
        <v>10.047492793084825</v>
      </c>
      <c r="DN59" s="30">
        <v>0.07375000000000001</v>
      </c>
      <c r="DO59" s="30">
        <v>5.1538126179648822</v>
      </c>
      <c r="DP59" s="30">
        <v>0.48449999999999999</v>
      </c>
      <c r="DQ59" s="30">
        <v>0.23400000000000004</v>
      </c>
      <c r="DR59" s="30">
        <v>0.46800000000000003</v>
      </c>
      <c r="DS59" s="30">
        <v>49.155601330009546</v>
      </c>
      <c r="DT59" s="30">
        <v>23.548200034526417</v>
      </c>
      <c r="DU59" s="30">
        <v>50.844398669990447</v>
      </c>
      <c r="DV59" s="30">
        <v>-1.5333037136922953</v>
      </c>
      <c r="DW59" s="30">
        <v>-1.6590982526687188</v>
      </c>
      <c r="DX59" s="30">
        <v>0.095545018772711307</v>
      </c>
      <c r="DY59" s="30">
        <v>1</v>
      </c>
      <c r="DZ59" s="30">
        <v>1.3970000000000002</v>
      </c>
      <c r="EA59" s="30">
        <v>1.2140000000000002</v>
      </c>
      <c r="EB59" s="30">
        <v>0.128</v>
      </c>
      <c r="EC59" s="30">
        <v>16.853875431523203</v>
      </c>
      <c r="ED59" s="30">
        <v>14.095134574643559</v>
      </c>
      <c r="EE59" s="30">
        <v>0.035500000000000004</v>
      </c>
      <c r="EF59" s="30">
        <v>0.59699999999999998</v>
      </c>
      <c r="EG59" s="30">
        <v>0.27900000000000003</v>
      </c>
      <c r="EH59" s="30">
        <v>0.66600000000000004</v>
      </c>
      <c r="EI59" s="30">
        <v>47.234528530242372</v>
      </c>
      <c r="EJ59" s="30">
        <v>21.113026846129145</v>
      </c>
      <c r="EK59" s="30">
        <v>52.765471469757621</v>
      </c>
      <c r="EL59" s="30">
        <v>-1.5241645058988866</v>
      </c>
      <c r="EM59" s="30">
        <v>-1.6975579285147933</v>
      </c>
      <c r="EN59" s="30">
        <v>0.16693527587923893</v>
      </c>
      <c r="EO59" s="30">
        <v>2</v>
      </c>
    </row>
    <row r="60" ht="14.25">
      <c r="A60" s="42" t="s">
        <v>138</v>
      </c>
      <c r="B60" s="52">
        <v>1</v>
      </c>
      <c r="C60" s="55">
        <v>9.0199999999999996</v>
      </c>
      <c r="D60" s="30">
        <v>0.54133333333333344</v>
      </c>
      <c r="E60" s="30">
        <v>0.6333333333333333</v>
      </c>
      <c r="F60" s="30">
        <v>1.1893333333333334</v>
      </c>
      <c r="G60" s="30">
        <v>0.014666666666666668</v>
      </c>
      <c r="H60" s="30">
        <v>10.916296191538452</v>
      </c>
      <c r="I60" s="30">
        <v>18.347175513815465</v>
      </c>
      <c r="J60" s="30">
        <v>0.27133333333333337</v>
      </c>
      <c r="K60" s="30">
        <v>50.47562923898824</v>
      </c>
      <c r="L60" s="30">
        <f>J60/F60</f>
        <v>0.22813901345291482</v>
      </c>
      <c r="M60" s="30">
        <v>-1.5042606229858062</v>
      </c>
      <c r="N60" s="31">
        <v>0.15965237566035015</v>
      </c>
      <c r="O60" s="30">
        <v>0.46139999999999998</v>
      </c>
      <c r="P60" s="30">
        <v>0.49080000000000013</v>
      </c>
      <c r="Q60" s="30">
        <v>0.95579999999999998</v>
      </c>
      <c r="R60" s="30">
        <v>0.0036000000000000003</v>
      </c>
      <c r="S60" s="30">
        <v>10.756397563914321</v>
      </c>
      <c r="T60" s="30">
        <v>17.231071983977365</v>
      </c>
      <c r="U60" s="30">
        <v>0.21659999999999999</v>
      </c>
      <c r="V60" s="30">
        <v>45.683480157779726</v>
      </c>
      <c r="W60" s="30">
        <f>U60/Q60</f>
        <v>0.22661644695542998</v>
      </c>
      <c r="X60" s="30">
        <v>-1.474061806157642</v>
      </c>
      <c r="Y60" s="31">
        <v>0.16790429776902843</v>
      </c>
      <c r="Z60" s="32">
        <f>F60-Q60</f>
        <v>0.23353333333333337</v>
      </c>
      <c r="AA60" s="30">
        <v>3.0941999999999998</v>
      </c>
      <c r="AB60" s="30">
        <v>6.6270000000000007</v>
      </c>
      <c r="AC60" s="30">
        <v>0.0132</v>
      </c>
      <c r="AD60" s="30">
        <v>1.4478000000000002</v>
      </c>
      <c r="AE60" s="30">
        <v>1.6464000000000003</v>
      </c>
      <c r="AF60" s="30">
        <v>11.942848857128245</v>
      </c>
      <c r="AG60" s="30">
        <f>AF60/AA60</f>
        <v>3.8597533634310146</v>
      </c>
      <c r="AH60" s="30">
        <v>-2.7256171067020762</v>
      </c>
      <c r="AI60" s="72">
        <f>(AE60/AA60)*100</f>
        <v>53.209230172580966</v>
      </c>
      <c r="AJ60" s="30">
        <v>2.7132000000000001</v>
      </c>
      <c r="AK60" s="30">
        <v>4.6638000000000002</v>
      </c>
      <c r="AL60" s="30">
        <v>0.019800000000000002</v>
      </c>
      <c r="AM60" s="30">
        <v>1.4028</v>
      </c>
      <c r="AN60" s="30">
        <v>1.3104</v>
      </c>
      <c r="AO60" s="30">
        <v>11.895264226797199</v>
      </c>
      <c r="AP60" s="30">
        <f>AN60/AJ60</f>
        <v>0.48297213622291019</v>
      </c>
      <c r="AQ60" s="30">
        <v>-2.7901679392184398</v>
      </c>
      <c r="AR60" s="45">
        <f>(AN60/AJ60)*100</f>
        <v>48.297213622291018</v>
      </c>
      <c r="AS60" s="46">
        <f>AJ60-AA60</f>
        <v>-0.38099999999999978</v>
      </c>
      <c r="AT60" s="46">
        <f>AN60-AE60</f>
        <v>-0.3360000000000003</v>
      </c>
      <c r="AU60" s="30">
        <v>1.7735749953712201</v>
      </c>
      <c r="AV60" s="30">
        <v>0.43754324666919842</v>
      </c>
      <c r="AW60" s="30">
        <v>0.51737563040934864</v>
      </c>
      <c r="AX60" s="31">
        <v>0.51758050833257874</v>
      </c>
      <c r="AY60" s="30">
        <v>5.3232000000000008</v>
      </c>
      <c r="AZ60" s="30">
        <v>2.4176000000000002</v>
      </c>
      <c r="BA60" s="30">
        <v>10.303641104324489</v>
      </c>
      <c r="BB60" s="30">
        <v>1.983533927549944</v>
      </c>
      <c r="BC60" s="39">
        <v>-2.4855448214112372</v>
      </c>
      <c r="BD60" s="30">
        <v>6.1236000000000006</v>
      </c>
      <c r="BE60" s="30">
        <v>2.6819999999999999</v>
      </c>
      <c r="BF60" s="30">
        <v>19.705190217819485</v>
      </c>
      <c r="BG60" s="30">
        <v>3.3654910289236235</v>
      </c>
      <c r="BH60" s="39">
        <v>-2.5348435044370832</v>
      </c>
      <c r="BI60" s="30">
        <v>7.8444000000000003</v>
      </c>
      <c r="BJ60" s="30">
        <v>3.3624000000000001</v>
      </c>
      <c r="BK60" s="30">
        <v>29.490991236838102</v>
      </c>
      <c r="BL60" s="30">
        <v>3.8081035971728645</v>
      </c>
      <c r="BM60" s="39">
        <v>-2.4885443642028786</v>
      </c>
      <c r="BN60" s="30">
        <v>8.4372000000000007</v>
      </c>
      <c r="BO60" s="30">
        <v>3.8544000000000005</v>
      </c>
      <c r="BP60" s="30">
        <v>38.571135156361393</v>
      </c>
      <c r="BQ60" s="30">
        <v>4.7981375544965861</v>
      </c>
      <c r="BR60" s="39">
        <v>-2.500138582822665</v>
      </c>
      <c r="BS60" s="30">
        <v>9.9792000000000005</v>
      </c>
      <c r="BT60" s="30">
        <v>4.2096</v>
      </c>
      <c r="BU60" s="30">
        <v>48.046877818235551</v>
      </c>
      <c r="BV60" s="30">
        <v>5.0555148881094265</v>
      </c>
      <c r="BW60" s="39">
        <v>-2.8029766305739088</v>
      </c>
      <c r="BX60" s="49">
        <v>0.1279623900393746</v>
      </c>
      <c r="BY60" s="49">
        <v>0.44815181856946834</v>
      </c>
      <c r="BZ60" s="49">
        <v>0.51990684977336898</v>
      </c>
      <c r="CA60" s="30">
        <v>0.89800000000000002</v>
      </c>
      <c r="CB60" s="30">
        <v>0.42599999999999999</v>
      </c>
      <c r="CC60" s="30">
        <v>0.48850000000000005</v>
      </c>
      <c r="CD60" s="30">
        <v>8.9484649763315431</v>
      </c>
      <c r="CE60" s="30">
        <v>21.160150822426662</v>
      </c>
      <c r="CF60" s="30">
        <v>0.057500000000000009</v>
      </c>
      <c r="CG60" s="30">
        <v>3.1792596793447032</v>
      </c>
      <c r="CH60" s="30">
        <v>0.183</v>
      </c>
      <c r="CI60" s="30">
        <v>0.076500000000000012</v>
      </c>
      <c r="CJ60" s="30">
        <v>0.246</v>
      </c>
      <c r="CK60" s="30">
        <v>45.2655315698794</v>
      </c>
      <c r="CL60" s="30">
        <v>18.893280632411066</v>
      </c>
      <c r="CM60" s="30">
        <v>54.734468430120614</v>
      </c>
      <c r="CN60" s="30">
        <v>-1.4066909538703967</v>
      </c>
      <c r="CO60" s="30">
        <v>-1.3887106517506584</v>
      </c>
      <c r="CP60" s="30">
        <v>0.1414232257515213</v>
      </c>
      <c r="CQ60" s="31">
        <v>0</v>
      </c>
      <c r="CR60" s="30">
        <v>0.96050000000000002</v>
      </c>
      <c r="CS60" s="30">
        <v>0.441</v>
      </c>
      <c r="CT60" s="30">
        <v>0.51950000000000007</v>
      </c>
      <c r="CU60" s="30">
        <v>16.921554407378171</v>
      </c>
      <c r="CV60" s="30">
        <v>38.87142120366228</v>
      </c>
      <c r="CW60" s="30">
        <v>0.078999999999999987</v>
      </c>
      <c r="CX60" s="30">
        <v>4.0777669869053339</v>
      </c>
      <c r="CY60" s="30">
        <v>0.20100000000000001</v>
      </c>
      <c r="CZ60" s="30">
        <v>0.092999999999999999</v>
      </c>
      <c r="DA60" s="30">
        <v>0.23999999999999999</v>
      </c>
      <c r="DB60" s="30">
        <v>46.066512389973212</v>
      </c>
      <c r="DC60" s="30">
        <v>21.237855898674052</v>
      </c>
      <c r="DD60" s="30">
        <v>53.933487610026781</v>
      </c>
      <c r="DE60" s="30">
        <v>-1.4163148410411437</v>
      </c>
      <c r="DF60" s="30">
        <v>-1.4144863082473622</v>
      </c>
      <c r="DG60" s="30">
        <v>0.08988972169570017</v>
      </c>
      <c r="DH60" s="30">
        <v>0</v>
      </c>
      <c r="DI60" s="30">
        <v>0.98225000000000018</v>
      </c>
      <c r="DJ60" s="30">
        <v>0.55800000000000005</v>
      </c>
      <c r="DK60" s="30">
        <v>0.52475000000000005</v>
      </c>
      <c r="DL60" s="30">
        <v>9.0427239742349244</v>
      </c>
      <c r="DM60" s="30">
        <v>17.0985764884568</v>
      </c>
      <c r="DN60" s="30">
        <v>0.03175</v>
      </c>
      <c r="DO60" s="30">
        <v>5.2097862858672563</v>
      </c>
      <c r="DP60" s="30">
        <v>0.20550000000000002</v>
      </c>
      <c r="DQ60" s="30">
        <v>0.070500000000000007</v>
      </c>
      <c r="DR60" s="30">
        <v>0.32100000000000001</v>
      </c>
      <c r="DS60" s="30">
        <v>45.494944306806055</v>
      </c>
      <c r="DT60" s="30">
        <v>16.590231198931122</v>
      </c>
      <c r="DU60" s="30">
        <v>54.505055693193945</v>
      </c>
      <c r="DV60" s="30">
        <v>-1.4525132513726804</v>
      </c>
      <c r="DW60" s="30">
        <v>-1.4415044120341378</v>
      </c>
      <c r="DX60" s="30">
        <v>0.13670759240735519</v>
      </c>
      <c r="DY60" s="30">
        <v>0.25</v>
      </c>
      <c r="DZ60" s="30">
        <v>1.3325</v>
      </c>
      <c r="EA60" s="30">
        <v>0.66000000000000003</v>
      </c>
      <c r="EB60" s="30">
        <v>0.82400000000000007</v>
      </c>
      <c r="EC60" s="30">
        <v>17.024698049765501</v>
      </c>
      <c r="ED60" s="30">
        <v>25.794997045099244</v>
      </c>
      <c r="EE60" s="30">
        <v>0.029499999999999998</v>
      </c>
      <c r="EF60" s="30">
        <v>0.23400000000000004</v>
      </c>
      <c r="EG60" s="30">
        <v>0.129</v>
      </c>
      <c r="EH60" s="30">
        <v>0.41400000000000003</v>
      </c>
      <c r="EI60" s="30">
        <v>46.951939344180722</v>
      </c>
      <c r="EJ60" s="30">
        <v>26.16388640095537</v>
      </c>
      <c r="EK60" s="30">
        <v>53.048060655819278</v>
      </c>
      <c r="EL60" s="30">
        <v>-1.4067691422222692</v>
      </c>
      <c r="EM60" s="30">
        <v>-1.4328439147786298</v>
      </c>
      <c r="EN60" s="30">
        <v>0.14052636173063476</v>
      </c>
      <c r="EO60" s="30">
        <v>0.25</v>
      </c>
    </row>
    <row r="61" ht="14.25">
      <c r="A61" s="42" t="s">
        <v>138</v>
      </c>
      <c r="B61" s="52">
        <v>1</v>
      </c>
      <c r="C61" s="55">
        <v>9.0299999999999994</v>
      </c>
      <c r="D61" s="30">
        <v>0.65100000000000002</v>
      </c>
      <c r="E61" s="30">
        <v>0.81825000000000003</v>
      </c>
      <c r="F61" s="30">
        <v>1.50675</v>
      </c>
      <c r="G61" s="30">
        <v>0.037500000000000006</v>
      </c>
      <c r="H61" s="30">
        <v>10.562876327269391</v>
      </c>
      <c r="I61" s="30">
        <v>17.837536358337417</v>
      </c>
      <c r="J61" s="30">
        <v>0.33599999999999997</v>
      </c>
      <c r="K61" s="30">
        <v>51.346241507343677</v>
      </c>
      <c r="L61" s="30">
        <f>J61/F61</f>
        <v>0.22299651567944248</v>
      </c>
      <c r="M61" s="30">
        <v>-1.5542968550963248</v>
      </c>
      <c r="N61" s="31">
        <v>0.16695540198789294</v>
      </c>
      <c r="O61" s="30">
        <v>0.58979999999999999</v>
      </c>
      <c r="P61" s="30">
        <v>0.7158000000000001</v>
      </c>
      <c r="Q61" s="30">
        <v>1.4328000000000001</v>
      </c>
      <c r="R61" s="30">
        <v>0.12720000000000004</v>
      </c>
      <c r="S61" s="30">
        <v>10.46905043530278</v>
      </c>
      <c r="T61" s="30">
        <v>17.881821108754401</v>
      </c>
      <c r="U61" s="30">
        <v>0.30300000000000005</v>
      </c>
      <c r="V61" s="30">
        <v>51.415804558626931</v>
      </c>
      <c r="W61" s="30">
        <f>U61/Q61</f>
        <v>0.21147403685092128</v>
      </c>
      <c r="X61" s="30">
        <v>-1.501200691926363</v>
      </c>
      <c r="Y61" s="31">
        <v>0.15466337888511988</v>
      </c>
      <c r="Z61" s="32">
        <f>F61-Q61</f>
        <v>0.07394999999999996</v>
      </c>
      <c r="AA61" s="30">
        <v>1.1778</v>
      </c>
      <c r="AB61" s="30">
        <v>2.5284000000000004</v>
      </c>
      <c r="AC61" s="30">
        <v>0.0054000000000000003</v>
      </c>
      <c r="AD61" s="30">
        <v>0.62580000000000013</v>
      </c>
      <c r="AE61" s="30">
        <v>0.55200000000000016</v>
      </c>
      <c r="AF61" s="30">
        <v>11.669665018989704</v>
      </c>
      <c r="AG61" s="30">
        <f>AF61/AA61</f>
        <v>9.9080192044402313</v>
      </c>
      <c r="AH61" s="30">
        <v>-2.2023224231569665</v>
      </c>
      <c r="AI61" s="72">
        <f>(AE61/AA61)*100</f>
        <v>46.867040244523707</v>
      </c>
      <c r="AJ61" s="30">
        <v>1.1814000000000002</v>
      </c>
      <c r="AK61" s="30">
        <v>2.3075999999999999</v>
      </c>
      <c r="AL61" s="30">
        <v>0.018000000000000002</v>
      </c>
      <c r="AM61" s="30">
        <v>0.61140000000000005</v>
      </c>
      <c r="AN61" s="30">
        <v>0.57000000000000006</v>
      </c>
      <c r="AO61" s="30">
        <v>11.8333682741529</v>
      </c>
      <c r="AP61" s="30">
        <f>AN61/AJ61</f>
        <v>0.48247841543930925</v>
      </c>
      <c r="AQ61" s="30">
        <v>-2.2626728503116054</v>
      </c>
      <c r="AR61" s="45">
        <f>(AN61/AJ61)*100</f>
        <v>48.247841543930925</v>
      </c>
      <c r="AS61" s="46">
        <f>AJ61-AA61</f>
        <v>0.0036000000000002697</v>
      </c>
      <c r="AT61" s="46">
        <f>AN61-AE61</f>
        <v>0.017999999999999905</v>
      </c>
      <c r="AU61" s="30">
        <v>0.38693666453231224</v>
      </c>
      <c r="AV61" s="30">
        <v>0.50253905143152522</v>
      </c>
      <c r="AW61" s="30">
        <v>0.68750680319576751</v>
      </c>
      <c r="AX61" s="31">
        <v>0.68794269612842718</v>
      </c>
      <c r="AY61" s="30">
        <v>1.0649999999999999</v>
      </c>
      <c r="AZ61" s="30">
        <v>0.45450000000000002</v>
      </c>
      <c r="BA61" s="30">
        <v>9.2697963015665295</v>
      </c>
      <c r="BB61" s="30">
        <v>9.0116904549252119</v>
      </c>
      <c r="BC61" s="39">
        <v>-2.0816600076054557</v>
      </c>
      <c r="BD61" s="30">
        <v>1.6188000000000002</v>
      </c>
      <c r="BE61" s="30">
        <v>0.75119999999999998</v>
      </c>
      <c r="BF61" s="30">
        <v>18.396645827193755</v>
      </c>
      <c r="BG61" s="30">
        <v>11.520050071050933</v>
      </c>
      <c r="BH61" s="39">
        <v>-2.2399358478108122</v>
      </c>
      <c r="BI61" s="30">
        <v>2.2343999999999999</v>
      </c>
      <c r="BJ61" s="30">
        <v>1.1352</v>
      </c>
      <c r="BK61" s="30">
        <v>27.83183379451264</v>
      </c>
      <c r="BL61" s="30">
        <v>12.654880912850063</v>
      </c>
      <c r="BM61" s="39">
        <v>-2.1928685866666364</v>
      </c>
      <c r="BN61" s="30">
        <v>2.556</v>
      </c>
      <c r="BO61" s="30">
        <v>1.2624</v>
      </c>
      <c r="BP61" s="30">
        <v>38.287751689241084</v>
      </c>
      <c r="BQ61" s="30">
        <v>15.516947360446142</v>
      </c>
      <c r="BR61" s="39">
        <v>-2.361589010970734</v>
      </c>
      <c r="BS61" s="30">
        <v>2.4852000000000003</v>
      </c>
      <c r="BT61" s="30">
        <v>1.2467999999999999</v>
      </c>
      <c r="BU61" s="30">
        <v>46.701231724345881</v>
      </c>
      <c r="BV61" s="30">
        <v>19.01721574948774</v>
      </c>
      <c r="BW61" s="39">
        <v>-2.2401305839797043</v>
      </c>
      <c r="BX61" s="49">
        <v>-0.0012455493052446894</v>
      </c>
      <c r="BY61" s="49">
        <v>1.440302369137348</v>
      </c>
      <c r="BZ61" s="49">
        <v>1.1713088039932984e-05</v>
      </c>
      <c r="CA61" s="30">
        <v>1.5917500000000002</v>
      </c>
      <c r="CB61" s="30">
        <v>0.88200000000000001</v>
      </c>
      <c r="CC61" s="30">
        <v>0.70974999999999999</v>
      </c>
      <c r="CD61" s="30">
        <v>8.9322411843615601</v>
      </c>
      <c r="CE61" s="30">
        <v>11.338879777853133</v>
      </c>
      <c r="CF61" s="30">
        <v>0.047750000000000001</v>
      </c>
      <c r="CG61" s="30">
        <v>3.1327834270066353</v>
      </c>
      <c r="CH61" s="30">
        <v>0.36450000000000005</v>
      </c>
      <c r="CI61" s="30">
        <v>0.2505</v>
      </c>
      <c r="CJ61" s="30">
        <v>0.51750000000000007</v>
      </c>
      <c r="CK61" s="30">
        <v>39.494082072571949</v>
      </c>
      <c r="CL61" s="30">
        <v>24.810287014490438</v>
      </c>
      <c r="CM61" s="30">
        <v>60.505917927428058</v>
      </c>
      <c r="CN61" s="30">
        <v>-1.5439003258263182</v>
      </c>
      <c r="CO61" s="30">
        <v>-1.697752947722887</v>
      </c>
      <c r="CP61" s="30">
        <v>0.12831606388041966</v>
      </c>
      <c r="CQ61" s="31">
        <v>1.5</v>
      </c>
      <c r="CR61" s="30">
        <v>1.2965000000000002</v>
      </c>
      <c r="CS61" s="30">
        <v>0.84300000000000019</v>
      </c>
      <c r="CT61" s="30">
        <v>0.45350000000000001</v>
      </c>
      <c r="CU61" s="30">
        <v>17.171189622628937</v>
      </c>
      <c r="CV61" s="30">
        <v>20.565497018992886</v>
      </c>
      <c r="CW61" s="30">
        <v>0.055000000000000007</v>
      </c>
      <c r="CX61" s="30">
        <v>4.0952299618422501</v>
      </c>
      <c r="CY61" s="30">
        <v>0.39750000000000002</v>
      </c>
      <c r="CZ61" s="30">
        <v>0.10200000000000002</v>
      </c>
      <c r="DA61" s="30">
        <v>0.44550000000000001</v>
      </c>
      <c r="DB61" s="30">
        <v>47.285202458710785</v>
      </c>
      <c r="DC61" s="30">
        <v>11.888743254322122</v>
      </c>
      <c r="DD61" s="30">
        <v>52.714797541289215</v>
      </c>
      <c r="DE61" s="30">
        <v>-1.5452306862051888</v>
      </c>
      <c r="DF61" s="30">
        <v>-1.6175634141553608</v>
      </c>
      <c r="DG61" s="30">
        <v>0.21312043655257701</v>
      </c>
      <c r="DH61" s="30">
        <v>0.5</v>
      </c>
      <c r="DI61" s="30">
        <v>1.2385000000000002</v>
      </c>
      <c r="DJ61" s="30">
        <v>0.8145</v>
      </c>
      <c r="DK61" s="30">
        <v>0.42400000000000004</v>
      </c>
      <c r="DL61" s="30">
        <v>9.1739173536406806</v>
      </c>
      <c r="DM61" s="30">
        <v>11.959571950697224</v>
      </c>
      <c r="DN61" s="30">
        <v>0.047</v>
      </c>
      <c r="DO61" s="30">
        <v>5.1347559726169543</v>
      </c>
      <c r="DP61" s="30">
        <v>0.19800000000000001</v>
      </c>
      <c r="DQ61" s="30">
        <v>0.084000000000000005</v>
      </c>
      <c r="DR61" s="30">
        <v>0.61650000000000005</v>
      </c>
      <c r="DS61" s="30">
        <v>26.281172603767111</v>
      </c>
      <c r="DT61" s="30">
        <v>11.487481349531835</v>
      </c>
      <c r="DU61" s="30">
        <v>73.718827396232896</v>
      </c>
      <c r="DV61" s="30">
        <v>-1.4893307450715063</v>
      </c>
      <c r="DW61" s="30">
        <v>-1.4072163251435954</v>
      </c>
      <c r="DX61" s="30">
        <v>0.1684924268208669</v>
      </c>
      <c r="DY61" s="30">
        <v>1.5</v>
      </c>
      <c r="DZ61" s="30">
        <v>1.6115000000000002</v>
      </c>
      <c r="EA61" s="30">
        <v>1.2075</v>
      </c>
      <c r="EB61" s="30">
        <v>0.40400000000000003</v>
      </c>
      <c r="EC61" s="30">
        <v>16.900035897337517</v>
      </c>
      <c r="ED61" s="30">
        <v>15.007770978471632</v>
      </c>
      <c r="EE61" s="30">
        <v>0.056500000000000009</v>
      </c>
      <c r="EF61" s="30">
        <v>0.41249999999999998</v>
      </c>
      <c r="EG61" s="30">
        <v>0.21600000000000003</v>
      </c>
      <c r="EH61" s="30">
        <v>0.79500000000000015</v>
      </c>
      <c r="EI61" s="30">
        <v>33.317230134462434</v>
      </c>
      <c r="EJ61" s="30">
        <v>15.650784760636114</v>
      </c>
      <c r="EK61" s="30">
        <v>66.682769865537566</v>
      </c>
      <c r="EL61" s="30">
        <v>-1.5482271983210225</v>
      </c>
      <c r="EM61" s="30">
        <v>-1.6065585029124407</v>
      </c>
      <c r="EN61" s="30">
        <v>0.14782660955829846</v>
      </c>
      <c r="EO61" s="30">
        <v>1.75</v>
      </c>
    </row>
    <row r="62" ht="14.25">
      <c r="A62" s="43" t="s">
        <v>139</v>
      </c>
      <c r="B62" s="43">
        <v>1</v>
      </c>
      <c r="C62" s="55">
        <v>9.0399999999999991</v>
      </c>
      <c r="D62" s="30">
        <v>0.81075000000000008</v>
      </c>
      <c r="E62" s="30">
        <v>1.32375</v>
      </c>
      <c r="F62" s="30">
        <v>2.1600000000000001</v>
      </c>
      <c r="G62" s="30">
        <v>0.025500000000000002</v>
      </c>
      <c r="H62" s="30">
        <v>10.619043474243471</v>
      </c>
      <c r="I62" s="30">
        <v>17.830706025627901</v>
      </c>
      <c r="J62" s="30">
        <v>0.34425000000000006</v>
      </c>
      <c r="K62" s="30">
        <v>44.124110028405866</v>
      </c>
      <c r="L62" s="30">
        <f>J62/F62</f>
        <v>0.15937500000000002</v>
      </c>
      <c r="M62" s="30">
        <v>-1.5930560049703224</v>
      </c>
      <c r="N62" s="31">
        <v>0.20362770172474387</v>
      </c>
      <c r="O62" s="30">
        <v>0.87524999999999997</v>
      </c>
      <c r="P62" s="30">
        <v>0.91950000000000021</v>
      </c>
      <c r="Q62" s="30">
        <v>1.8007499999999999</v>
      </c>
      <c r="R62" s="30">
        <v>0.0060000000000000001</v>
      </c>
      <c r="S62" s="30">
        <v>10.420906999859543</v>
      </c>
      <c r="T62" s="30">
        <v>16.395647530468388</v>
      </c>
      <c r="U62" s="30">
        <v>0.38024999999999998</v>
      </c>
      <c r="V62" s="30">
        <v>45.321281422588804</v>
      </c>
      <c r="W62" s="30">
        <f>U62/Q62</f>
        <v>0.21116201582673885</v>
      </c>
      <c r="X62" s="30">
        <v>-1.7204745876695269</v>
      </c>
      <c r="Y62" s="31">
        <v>0.28011490458993604</v>
      </c>
      <c r="Z62" s="32">
        <f>F62-Q62</f>
        <v>0.35925000000000029</v>
      </c>
      <c r="AA62" s="30">
        <v>2.2925999999999997</v>
      </c>
      <c r="AB62" s="30">
        <v>5.2128000000000005</v>
      </c>
      <c r="AC62" s="30">
        <v>0.015599999999999999</v>
      </c>
      <c r="AD62" s="30">
        <v>1.2018</v>
      </c>
      <c r="AE62" s="30">
        <v>1.0908</v>
      </c>
      <c r="AF62" s="30">
        <v>11.968570221479684</v>
      </c>
      <c r="AG62" s="30">
        <f>AF62/AA62</f>
        <v>5.2205226474220039</v>
      </c>
      <c r="AH62" s="30">
        <v>-2.4787832442259705</v>
      </c>
      <c r="AI62" s="72">
        <f>(AE62/AA62)*100</f>
        <v>47.579167757131643</v>
      </c>
      <c r="AJ62" s="30">
        <v>2.2854000000000001</v>
      </c>
      <c r="AK62" s="30">
        <v>4.7513999999999994</v>
      </c>
      <c r="AL62" s="30">
        <v>0.022200000000000004</v>
      </c>
      <c r="AM62" s="30">
        <v>1.1981999999999999</v>
      </c>
      <c r="AN62" s="30">
        <v>1.0872000000000002</v>
      </c>
      <c r="AO62" s="30">
        <v>12.047141648980517</v>
      </c>
      <c r="AP62" s="30">
        <f>AN62/AJ62</f>
        <v>0.47571541086899455</v>
      </c>
      <c r="AQ62" s="30">
        <v>-2.5501145810041739</v>
      </c>
      <c r="AR62" s="45">
        <f>(AN62/AJ62)*100</f>
        <v>47.571541086899458</v>
      </c>
      <c r="AS62" s="46">
        <f>AJ62-AA62</f>
        <v>-0.0071999999999996511</v>
      </c>
      <c r="AT62" s="46">
        <f>AN62-AE62</f>
        <v>-0.0035999999999998256</v>
      </c>
      <c r="AU62" s="30">
        <v>3.0356332089274951</v>
      </c>
      <c r="AV62" s="30">
        <v>0.28546073794813165</v>
      </c>
      <c r="AW62" s="30">
        <v>0.30039776910163329</v>
      </c>
      <c r="AX62" s="31">
        <v>0.300666200479205</v>
      </c>
      <c r="AY62" s="30">
        <v>5.8479999999999999</v>
      </c>
      <c r="AZ62" s="30">
        <v>3.1776</v>
      </c>
      <c r="BA62" s="30">
        <v>10.331347835089803</v>
      </c>
      <c r="BB62" s="30">
        <v>1.7947523576835476</v>
      </c>
      <c r="BC62" s="39">
        <v>-3.4496011662845696</v>
      </c>
      <c r="BD62" s="30">
        <v>8.0608000000000004</v>
      </c>
      <c r="BE62" s="30">
        <v>3.9094000000000002</v>
      </c>
      <c r="BF62" s="30">
        <v>17.125425991434799</v>
      </c>
      <c r="BG62" s="30">
        <v>2.0968000336778787</v>
      </c>
      <c r="BH62" s="39">
        <v>-2.8516080733313318</v>
      </c>
      <c r="BI62" s="30">
        <v>6.8688000000000002</v>
      </c>
      <c r="BJ62" s="30">
        <v>3.660000000000001</v>
      </c>
      <c r="BK62" s="30">
        <v>29.537444135748689</v>
      </c>
      <c r="BL62" s="30">
        <v>4.4287538277622449</v>
      </c>
      <c r="BM62" s="39">
        <v>-3.0523213348958613</v>
      </c>
      <c r="BN62" s="30">
        <v>7.7700000000000014</v>
      </c>
      <c r="BO62" s="30">
        <v>3.7320000000000002</v>
      </c>
      <c r="BP62" s="30">
        <v>40.140779274747679</v>
      </c>
      <c r="BQ62" s="30">
        <v>5.6501724325786586</v>
      </c>
      <c r="BR62" s="39">
        <v>-2.7534579751178496</v>
      </c>
      <c r="BS62" s="30">
        <v>10.141500000000001</v>
      </c>
      <c r="BT62" s="30">
        <v>6.0674999999999999</v>
      </c>
      <c r="BU62" s="30">
        <v>50.299569760644673</v>
      </c>
      <c r="BV62" s="30">
        <v>5.289310271642174</v>
      </c>
      <c r="BW62" s="39">
        <v>-2.5112845974800226</v>
      </c>
      <c r="BX62" s="30">
        <v>0.20508585229360116</v>
      </c>
      <c r="BY62" s="30">
        <v>0.6737332570262099</v>
      </c>
      <c r="BZ62" s="30">
        <v>0.3181659687888504</v>
      </c>
      <c r="CA62" s="30">
        <v>1.3322499999999999</v>
      </c>
      <c r="CB62" s="30">
        <v>1.1520000000000001</v>
      </c>
      <c r="CC62" s="30">
        <v>0.18025000000000002</v>
      </c>
      <c r="CD62" s="30">
        <v>10.841000726394713</v>
      </c>
      <c r="CE62" s="30">
        <v>10.091040616049842</v>
      </c>
      <c r="CF62" s="30">
        <v>0.083749999999999991</v>
      </c>
      <c r="CG62" s="30">
        <v>3.019396432006098</v>
      </c>
      <c r="CH62" s="30">
        <v>0.47400000000000003</v>
      </c>
      <c r="CI62" s="30">
        <v>0.30599999999999999</v>
      </c>
      <c r="CJ62" s="30">
        <v>0.67799999999999994</v>
      </c>
      <c r="CK62" s="30">
        <v>43.76073465060837</v>
      </c>
      <c r="CL62" s="30">
        <v>21.955954556942871</v>
      </c>
      <c r="CM62" s="30">
        <v>56.23926534939163</v>
      </c>
      <c r="CN62" s="30">
        <v>-1.7954864788624867</v>
      </c>
      <c r="CO62" s="30">
        <v>-1.707590129897715</v>
      </c>
      <c r="CP62" s="30">
        <v>0.14357070394687751</v>
      </c>
      <c r="CQ62" s="31">
        <v>1.5</v>
      </c>
      <c r="CR62" s="30">
        <v>1.4755000000000003</v>
      </c>
      <c r="CS62" s="30">
        <v>1.242</v>
      </c>
      <c r="CT62" s="30">
        <v>0.23349999999999999</v>
      </c>
      <c r="CU62" s="30">
        <v>16.699074593949188</v>
      </c>
      <c r="CV62" s="30">
        <v>13.938210491463551</v>
      </c>
      <c r="CW62" s="30">
        <v>0.062</v>
      </c>
      <c r="CX62" s="30">
        <v>4.0529751360609616</v>
      </c>
      <c r="CY62" s="30">
        <v>0.63000000000000012</v>
      </c>
      <c r="CZ62" s="30">
        <v>0.378</v>
      </c>
      <c r="DA62" s="30">
        <v>0.6120000000000001</v>
      </c>
      <c r="DB62" s="30">
        <v>50.244766997708176</v>
      </c>
      <c r="DC62" s="30">
        <v>28.366322482072007</v>
      </c>
      <c r="DD62" s="30">
        <v>49.755233002291831</v>
      </c>
      <c r="DE62" s="30">
        <v>-1.5382123436400559</v>
      </c>
      <c r="DF62" s="30">
        <v>-1.6575798117351355</v>
      </c>
      <c r="DG62" s="30">
        <v>0.22199973937937889</v>
      </c>
      <c r="DH62" s="30">
        <v>1</v>
      </c>
      <c r="DI62" s="30">
        <v>1.6477499999999998</v>
      </c>
      <c r="DJ62" s="30">
        <v>1.1819999999999999</v>
      </c>
      <c r="DK62" s="30">
        <v>0.46575000000000005</v>
      </c>
      <c r="DL62" s="30">
        <v>8.5018792290108038</v>
      </c>
      <c r="DM62" s="30">
        <v>7.252955094834884</v>
      </c>
      <c r="DN62" s="30">
        <v>0.056250000000000001</v>
      </c>
      <c r="DO62" s="30">
        <v>5.0746498043384323</v>
      </c>
      <c r="DP62" s="30">
        <v>0.51900000000000013</v>
      </c>
      <c r="DQ62" s="30">
        <v>0.16050000000000003</v>
      </c>
      <c r="DR62" s="30">
        <v>0.66300000000000003</v>
      </c>
      <c r="DS62" s="30">
        <v>44.820739763429629</v>
      </c>
      <c r="DT62" s="30">
        <v>14.018901807720146</v>
      </c>
      <c r="DU62" s="30">
        <v>55.179260236570371</v>
      </c>
      <c r="DV62" s="30">
        <v>-1.6055219651898482</v>
      </c>
      <c r="DW62" s="30">
        <v>-1.7179188676476873</v>
      </c>
      <c r="DX62" s="30">
        <v>0.12163511924683779</v>
      </c>
      <c r="DY62" s="30">
        <v>1.25</v>
      </c>
      <c r="DZ62" s="30">
        <v>1.9715000000000003</v>
      </c>
      <c r="EA62" s="30">
        <v>1.653</v>
      </c>
      <c r="EB62" s="30">
        <v>0.31850000000000001</v>
      </c>
      <c r="EC62" s="30">
        <v>17.245604814986091</v>
      </c>
      <c r="ED62" s="30">
        <v>10.61811524996882</v>
      </c>
      <c r="EE62" s="30">
        <v>0.040000000000000001</v>
      </c>
      <c r="EF62" s="30">
        <v>0.76950000000000007</v>
      </c>
      <c r="EG62" s="30">
        <v>0.44850000000000001</v>
      </c>
      <c r="EH62" s="30">
        <v>0.88350000000000006</v>
      </c>
      <c r="EI62" s="30">
        <v>47.661656001904966</v>
      </c>
      <c r="EJ62" s="30">
        <v>26.108875564269759</v>
      </c>
      <c r="EK62" s="30">
        <v>52.338343998095034</v>
      </c>
      <c r="EL62" s="30">
        <v>-1.7143872720027169</v>
      </c>
      <c r="EM62" s="30">
        <v>-1.7876067913246954</v>
      </c>
      <c r="EN62" s="30">
        <v>0.22347018964056775</v>
      </c>
      <c r="EO62" s="30">
        <v>2.75</v>
      </c>
    </row>
    <row r="63" ht="14.25">
      <c r="A63" s="43" t="s">
        <v>139</v>
      </c>
      <c r="B63" s="43">
        <v>1</v>
      </c>
      <c r="C63" s="55">
        <v>9.0600000000000005</v>
      </c>
      <c r="D63" s="30">
        <v>1.6776</v>
      </c>
      <c r="E63" s="30">
        <v>1.9164000000000001</v>
      </c>
      <c r="F63" s="30">
        <v>3.6468000000000003</v>
      </c>
      <c r="G63" s="30">
        <v>0.0528</v>
      </c>
      <c r="H63" s="30">
        <v>10.190956670855689</v>
      </c>
      <c r="I63" s="30">
        <v>17.673447836070299</v>
      </c>
      <c r="J63" s="30">
        <v>0.59939999999999993</v>
      </c>
      <c r="K63" s="30">
        <v>36.882940357241274</v>
      </c>
      <c r="L63" s="30">
        <f>J63/F63</f>
        <v>0.16436327739387954</v>
      </c>
      <c r="M63" s="30">
        <v>-1.6994021399775581</v>
      </c>
      <c r="N63" s="31">
        <v>0.1384479588207464</v>
      </c>
      <c r="O63" s="30">
        <v>1.4355000000000002</v>
      </c>
      <c r="P63" s="30">
        <v>1.6065</v>
      </c>
      <c r="Q63" s="30">
        <v>3.0884999999999998</v>
      </c>
      <c r="R63" s="30">
        <v>0.0465</v>
      </c>
      <c r="S63" s="30">
        <v>10.208063168914673</v>
      </c>
      <c r="T63" s="30">
        <v>17.113532177855625</v>
      </c>
      <c r="U63" s="30">
        <v>0.57150000000000001</v>
      </c>
      <c r="V63" s="30">
        <v>41.424040655692977</v>
      </c>
      <c r="W63" s="30">
        <f>U63/Q63</f>
        <v>0.1850412821758135</v>
      </c>
      <c r="X63" s="30">
        <v>-1.8005474369338854</v>
      </c>
      <c r="Y63" s="31">
        <v>0.16251443236850685</v>
      </c>
      <c r="Z63" s="32">
        <f>F63-Q63</f>
        <v>0.55830000000000046</v>
      </c>
      <c r="AA63" s="30">
        <v>4.0590000000000002</v>
      </c>
      <c r="AB63" s="30">
        <v>8.3033999999999999</v>
      </c>
      <c r="AC63" s="30">
        <v>0.020400000000000001</v>
      </c>
      <c r="AD63" s="30">
        <v>2.2673999999999999</v>
      </c>
      <c r="AE63" s="30">
        <v>1.7916000000000001</v>
      </c>
      <c r="AF63" s="30">
        <v>11.576739208050759</v>
      </c>
      <c r="AG63" s="30">
        <f>AF63/AA63</f>
        <v>2.8521160896897655</v>
      </c>
      <c r="AH63" s="30">
        <v>-2.4006228154423357</v>
      </c>
      <c r="AI63" s="72">
        <f>(AE63/AA63)*100</f>
        <v>44.138950480413897</v>
      </c>
      <c r="AJ63" s="30">
        <v>3.9119999999999999</v>
      </c>
      <c r="AK63" s="30">
        <v>7.5862500000000006</v>
      </c>
      <c r="AL63" s="30">
        <v>0.035250000000000004</v>
      </c>
      <c r="AM63" s="30">
        <v>2.4277500000000001</v>
      </c>
      <c r="AN63" s="30">
        <v>1.4842499999999998</v>
      </c>
      <c r="AO63" s="30">
        <v>11.764822561866243</v>
      </c>
      <c r="AP63" s="30">
        <f>AN63/AJ63</f>
        <v>0.37940950920245398</v>
      </c>
      <c r="AQ63" s="30">
        <v>-2.3981432196139751</v>
      </c>
      <c r="AR63" s="45">
        <f>(AN63/AJ63)*100</f>
        <v>37.940950920245399</v>
      </c>
      <c r="AS63" s="46">
        <f>AJ63-AA63</f>
        <v>-0.14700000000000024</v>
      </c>
      <c r="AT63" s="46">
        <f>AN63-AE63</f>
        <v>-0.30735000000000023</v>
      </c>
      <c r="AU63" s="30">
        <v>8.4738358552115152</v>
      </c>
      <c r="AV63" s="30">
        <v>0.066290698199047635</v>
      </c>
      <c r="AW63" s="30">
        <v>0.030815724442797898</v>
      </c>
      <c r="AX63" s="31">
        <v>0.030816685964485689</v>
      </c>
      <c r="AY63" s="30">
        <v>9.7647999999999993</v>
      </c>
      <c r="AZ63" s="30">
        <v>4.5903999999999998</v>
      </c>
      <c r="BA63" s="30">
        <v>9.792614471928653</v>
      </c>
      <c r="BB63" s="30">
        <v>1.0464318968467232</v>
      </c>
      <c r="BC63" s="39">
        <v>-2.4961745125806667</v>
      </c>
      <c r="BD63" s="30">
        <v>11.0724</v>
      </c>
      <c r="BE63" s="30">
        <v>5.1852</v>
      </c>
      <c r="BF63" s="30">
        <v>19.093427685424107</v>
      </c>
      <c r="BG63" s="30">
        <v>1.7371085438372897</v>
      </c>
      <c r="BH63" s="39">
        <v>-2.7082777420449644</v>
      </c>
      <c r="BI63" s="30">
        <v>10.162800000000001</v>
      </c>
      <c r="BJ63" s="30">
        <v>5.3940000000000001</v>
      </c>
      <c r="BK63" s="30">
        <v>28.678265007137412</v>
      </c>
      <c r="BL63" s="30">
        <v>2.9685970110585607</v>
      </c>
      <c r="BM63" s="39">
        <v>-2.6932154405400173</v>
      </c>
      <c r="BN63" s="30">
        <v>9.409200000000002</v>
      </c>
      <c r="BO63" s="30">
        <v>4.7435999999999998</v>
      </c>
      <c r="BP63" s="30">
        <v>39.108307217131674</v>
      </c>
      <c r="BQ63" s="30">
        <v>4.1968714551990809</v>
      </c>
      <c r="BR63" s="39">
        <v>-2.4920820259823868</v>
      </c>
      <c r="BS63" s="30">
        <v>12.098400000000002</v>
      </c>
      <c r="BT63" s="30">
        <v>5.5499999999999998</v>
      </c>
      <c r="BU63" s="30">
        <v>48.198638639415833</v>
      </c>
      <c r="BV63" s="30">
        <v>4.1426100686624894</v>
      </c>
      <c r="BW63" s="39">
        <v>-2.7198437578242141</v>
      </c>
      <c r="BX63" s="30">
        <v>0.24198494513664451</v>
      </c>
      <c r="BY63" s="30">
        <v>1.2452506013528168</v>
      </c>
      <c r="BZ63" s="30">
        <v>0.088613392103881972</v>
      </c>
      <c r="CA63" s="30">
        <v>2.1684999999999999</v>
      </c>
      <c r="CB63" s="30">
        <v>1.9454999999999998</v>
      </c>
      <c r="CC63" s="30">
        <v>0.223</v>
      </c>
      <c r="CD63" s="30">
        <v>8.9695365547972941</v>
      </c>
      <c r="CE63" s="30">
        <v>5.6074242069532438</v>
      </c>
      <c r="CF63" s="30">
        <v>0.080000000000000002</v>
      </c>
      <c r="CG63" s="30">
        <v>3.0585024607896951</v>
      </c>
      <c r="CH63" s="30">
        <v>0.66300000000000003</v>
      </c>
      <c r="CI63" s="30">
        <v>0.91650000000000009</v>
      </c>
      <c r="CJ63" s="30">
        <v>1.2825</v>
      </c>
      <c r="CK63" s="30">
        <v>39.755713607605806</v>
      </c>
      <c r="CL63" s="30">
        <v>37.262524330250685</v>
      </c>
      <c r="CM63" s="30">
        <v>60.244286392394187</v>
      </c>
      <c r="CN63" s="30">
        <v>-1.8820262153345113</v>
      </c>
      <c r="CO63" s="30">
        <v>-1.6842052752819909</v>
      </c>
      <c r="CP63" s="30">
        <v>0.12614848815973001</v>
      </c>
      <c r="CQ63" s="31">
        <v>3.6666666666666665</v>
      </c>
      <c r="CR63" s="30">
        <v>2.3129999999999997</v>
      </c>
      <c r="CS63" s="30">
        <v>1.9305000000000003</v>
      </c>
      <c r="CT63" s="30">
        <v>0.38250000000000006</v>
      </c>
      <c r="CU63" s="30">
        <v>17.006686080303862</v>
      </c>
      <c r="CV63" s="30">
        <v>9.5495623973794252</v>
      </c>
      <c r="CW63" s="30">
        <v>0.055500000000000008</v>
      </c>
      <c r="CX63" s="30">
        <v>4.0814975513395071</v>
      </c>
      <c r="CY63" s="30">
        <v>0.95100000000000018</v>
      </c>
      <c r="CZ63" s="30">
        <v>0.38850000000000007</v>
      </c>
      <c r="DA63" s="30">
        <v>0.97950000000000015</v>
      </c>
      <c r="DB63" s="30">
        <v>48.870625264647636</v>
      </c>
      <c r="DC63" s="30">
        <v>21.6292258622586</v>
      </c>
      <c r="DD63" s="30">
        <v>51.129374735352371</v>
      </c>
      <c r="DE63" s="30">
        <v>-1.7058510088103436</v>
      </c>
      <c r="DF63" s="30">
        <v>-1.7477905939156642</v>
      </c>
      <c r="DG63" s="30">
        <v>0.12005630608646382</v>
      </c>
      <c r="DH63" s="30">
        <v>2.25</v>
      </c>
      <c r="DI63" s="30">
        <v>1.6777500000000003</v>
      </c>
      <c r="DJ63" s="30">
        <v>1.3499999999999999</v>
      </c>
      <c r="DK63" s="30">
        <v>0.33825000000000005</v>
      </c>
      <c r="DL63" s="30">
        <v>8.669803645429587</v>
      </c>
      <c r="DM63" s="30">
        <v>6.5268574671433299</v>
      </c>
      <c r="DN63" s="30">
        <v>0.045750000000000006</v>
      </c>
      <c r="DO63" s="30">
        <v>5.1242151731101311</v>
      </c>
      <c r="DP63" s="30">
        <v>0.42750000000000005</v>
      </c>
      <c r="DQ63" s="30">
        <v>0.16200000000000001</v>
      </c>
      <c r="DR63" s="30">
        <v>0.91600000000000004</v>
      </c>
      <c r="DS63" s="30">
        <v>33.265164672677038</v>
      </c>
      <c r="DT63" s="30">
        <v>12.996491207572429</v>
      </c>
      <c r="DU63" s="30">
        <v>66.734835327322969</v>
      </c>
      <c r="DV63" s="30">
        <v>-1.7002476574163843</v>
      </c>
      <c r="DW63" s="30">
        <v>-1.6479504478512559</v>
      </c>
      <c r="DX63" s="30">
        <v>0.11753026670981796</v>
      </c>
      <c r="DY63" s="30">
        <v>2</v>
      </c>
      <c r="DZ63" s="30">
        <v>3.3960000000000004</v>
      </c>
      <c r="EA63" s="30">
        <v>2.7120000000000002</v>
      </c>
      <c r="EB63" s="30">
        <v>0.68400000000000005</v>
      </c>
      <c r="EC63" s="30">
        <v>17.042358447221716</v>
      </c>
      <c r="ED63" s="30">
        <v>6.5341069092361019</v>
      </c>
      <c r="EE63" s="30">
        <v>0.037750000000000006</v>
      </c>
      <c r="EF63" s="30">
        <v>0.92400000000000004</v>
      </c>
      <c r="EG63" s="30">
        <v>0.68800000000000006</v>
      </c>
      <c r="EH63" s="30">
        <v>1.788</v>
      </c>
      <c r="EI63" s="30">
        <v>33.933766735139791</v>
      </c>
      <c r="EJ63" s="30">
        <v>25.22972915350887</v>
      </c>
      <c r="EK63" s="30">
        <v>66.066233264860202</v>
      </c>
      <c r="EL63" s="30">
        <v>-1.7079293113370406</v>
      </c>
      <c r="EM63" s="30">
        <v>-1.8160048889207969</v>
      </c>
      <c r="EN63" s="30">
        <v>0.12600696865607156</v>
      </c>
      <c r="EO63" s="30">
        <v>5</v>
      </c>
    </row>
    <row r="64" ht="14.25">
      <c r="A64" s="42" t="s">
        <v>138</v>
      </c>
      <c r="B64" s="52">
        <v>1</v>
      </c>
      <c r="C64" s="55">
        <v>9.0600000000000005</v>
      </c>
      <c r="D64" s="30">
        <v>0.66900000000000004</v>
      </c>
      <c r="E64" s="30">
        <v>1.1535000000000002</v>
      </c>
      <c r="F64" s="30">
        <v>1.8270000000000002</v>
      </c>
      <c r="G64" s="30">
        <v>0.0045000000000000005</v>
      </c>
      <c r="H64" s="30">
        <v>11.054413092080521</v>
      </c>
      <c r="I64" s="30">
        <v>17.670378571942923</v>
      </c>
      <c r="J64" s="30">
        <v>0.30450000000000005</v>
      </c>
      <c r="K64" s="30">
        <v>44.387833188240229</v>
      </c>
      <c r="L64" s="30">
        <f>J64/F64</f>
        <v>0.16666666666666669</v>
      </c>
      <c r="M64" s="30">
        <v>-1.4619274911724109</v>
      </c>
      <c r="N64" s="31">
        <v>0.093801485892912484</v>
      </c>
      <c r="O64" s="30">
        <v>0.94275000000000009</v>
      </c>
      <c r="P64" s="30">
        <v>0.91949999999999998</v>
      </c>
      <c r="Q64" s="30">
        <v>1.9560000000000002</v>
      </c>
      <c r="R64" s="30">
        <v>0.093750000000000014</v>
      </c>
      <c r="S64" s="30">
        <v>10.234444649122405</v>
      </c>
      <c r="T64" s="30">
        <v>17.37839637324042</v>
      </c>
      <c r="U64" s="30">
        <v>0.42899999999999999</v>
      </c>
      <c r="V64" s="30">
        <v>47.715061119329626</v>
      </c>
      <c r="W64" s="30">
        <f>U64/Q64</f>
        <v>0.21932515337423311</v>
      </c>
      <c r="X64" s="30">
        <v>-1.5286090189884645</v>
      </c>
      <c r="Y64" s="31">
        <v>0.13884876617668593</v>
      </c>
      <c r="Z64" s="50">
        <f>F64-Q64</f>
        <v>-0.129</v>
      </c>
      <c r="AA64" s="30">
        <v>5.4517500000000005</v>
      </c>
      <c r="AB64" s="30">
        <v>10.40475</v>
      </c>
      <c r="AC64" s="30">
        <v>0.09375</v>
      </c>
      <c r="AD64" s="30">
        <v>3.2025000000000001</v>
      </c>
      <c r="AE64" s="30">
        <v>2.2492500000000004</v>
      </c>
      <c r="AF64" s="30">
        <v>12.156940248821721</v>
      </c>
      <c r="AG64" s="30">
        <f>AF64/AA64</f>
        <v>2.2299152104960278</v>
      </c>
      <c r="AH64" s="30">
        <v>-2.8703183706417508</v>
      </c>
      <c r="AI64" s="72">
        <f>(AE64/AA64)*100</f>
        <v>41.257394414637503</v>
      </c>
      <c r="AJ64" s="30">
        <v>6.2467500000000005</v>
      </c>
      <c r="AK64" s="30">
        <v>11.512500000000001</v>
      </c>
      <c r="AL64" s="30">
        <v>0.16950000000000001</v>
      </c>
      <c r="AM64" s="30">
        <v>3.38775</v>
      </c>
      <c r="AN64" s="30">
        <v>2.8590000000000004</v>
      </c>
      <c r="AO64" s="30">
        <v>12.670213134455212</v>
      </c>
      <c r="AP64" s="30">
        <f>AN64/AJ64</f>
        <v>0.45767799255612923</v>
      </c>
      <c r="AQ64" s="30">
        <v>-3.0688876476955493</v>
      </c>
      <c r="AR64" s="45">
        <f>(AN64/AJ64)*100</f>
        <v>45.767799255612921</v>
      </c>
      <c r="AS64" s="46">
        <f>AJ64-AA64</f>
        <v>0.79499999999999993</v>
      </c>
      <c r="AT64" s="46">
        <f>AN64-AE64</f>
        <v>0.60975000000000001</v>
      </c>
      <c r="AU64" s="30">
        <v>4.2042517570933251</v>
      </c>
      <c r="AV64" s="30">
        <v>0.35535063770258984</v>
      </c>
      <c r="AW64" s="30">
        <v>0.27067298257735084</v>
      </c>
      <c r="AX64" s="31">
        <v>0.27171775447769508</v>
      </c>
      <c r="AY64" s="30">
        <v>7.5044000000000013</v>
      </c>
      <c r="AZ64" s="30">
        <v>3.9932000000000003</v>
      </c>
      <c r="BA64" s="30">
        <v>11.701667249273315</v>
      </c>
      <c r="BB64" s="30">
        <v>1.7155728303616784</v>
      </c>
      <c r="BC64" s="39">
        <v>-2.5200027247043999</v>
      </c>
      <c r="BD64" s="30">
        <v>13.492799999999999</v>
      </c>
      <c r="BE64" s="30">
        <v>6.2916000000000007</v>
      </c>
      <c r="BF64" s="30">
        <v>21.209180245637146</v>
      </c>
      <c r="BG64" s="30">
        <v>1.7454973803336784</v>
      </c>
      <c r="BH64" s="39">
        <v>-2.9602206791281889</v>
      </c>
      <c r="BI64" s="30">
        <v>15.886000000000001</v>
      </c>
      <c r="BJ64" s="30">
        <v>7.1140000000000008</v>
      </c>
      <c r="BK64" s="30">
        <v>30.1558519684793</v>
      </c>
      <c r="BL64" s="30">
        <v>1.9934915696102848</v>
      </c>
      <c r="BM64" s="39">
        <v>-3.3425198293384693</v>
      </c>
      <c r="BN64" s="30">
        <v>19.654800000000002</v>
      </c>
      <c r="BO64" s="30">
        <v>9.6456</v>
      </c>
      <c r="BP64" s="30">
        <v>42.173093895685099</v>
      </c>
      <c r="BQ64" s="30">
        <v>2.3426047648595691</v>
      </c>
      <c r="BR64" s="39">
        <v>-3.2078281060314544</v>
      </c>
      <c r="BS64" s="30">
        <v>13.920000000000002</v>
      </c>
      <c r="BT64" s="30">
        <v>6.6996000000000011</v>
      </c>
      <c r="BU64" s="30">
        <v>54.358768605506746</v>
      </c>
      <c r="BV64" s="30">
        <v>3.9481519564815661</v>
      </c>
      <c r="BW64" s="39">
        <v>-2.674672331141573</v>
      </c>
      <c r="BX64" s="49">
        <v>0.1214820223328619</v>
      </c>
      <c r="BY64" s="49">
        <v>0.35494549741342629</v>
      </c>
      <c r="BZ64" s="49">
        <v>0.61854726648402258</v>
      </c>
      <c r="CA64" s="30">
        <v>0.74175000000000002</v>
      </c>
      <c r="CB64" s="30">
        <v>0.54600000000000004</v>
      </c>
      <c r="CC64" s="30">
        <v>0.19575000000000001</v>
      </c>
      <c r="CD64" s="30">
        <v>8.5167355807542791</v>
      </c>
      <c r="CE64" s="30">
        <v>16.413494886916169</v>
      </c>
      <c r="CF64" s="30">
        <v>0.063750000000000001</v>
      </c>
      <c r="CG64" s="30">
        <v>3.0822779171876942</v>
      </c>
      <c r="CH64" s="30">
        <v>0.22949999999999998</v>
      </c>
      <c r="CI64" s="30">
        <v>0.10500000000000001</v>
      </c>
      <c r="CJ64" s="30">
        <v>0.3165</v>
      </c>
      <c r="CK64" s="30">
        <v>44.34761653297123</v>
      </c>
      <c r="CL64" s="30">
        <v>19.584775763265462</v>
      </c>
      <c r="CM64" s="30">
        <v>55.65238346702877</v>
      </c>
      <c r="CN64" s="30">
        <v>-1.5489520799827705</v>
      </c>
      <c r="CO64" s="30">
        <v>-1.434117709395943</v>
      </c>
      <c r="CP64" s="30">
        <v>0.081273976057426811</v>
      </c>
      <c r="CQ64" s="31">
        <v>0.25</v>
      </c>
      <c r="CR64" s="30">
        <v>0.8523333333333335</v>
      </c>
      <c r="CS64" s="30">
        <v>0.71099999999999997</v>
      </c>
      <c r="CT64" s="30">
        <v>0.11633333333333333</v>
      </c>
      <c r="CU64" s="30">
        <v>16.044939443285394</v>
      </c>
      <c r="CV64" s="30">
        <v>22.846071426152736</v>
      </c>
      <c r="CW64" s="30">
        <v>0.041999999999999996</v>
      </c>
      <c r="CX64" s="30">
        <v>3.9948437455602961</v>
      </c>
      <c r="CY64" s="30">
        <v>0.38000000000000006</v>
      </c>
      <c r="CZ64" s="30">
        <v>0.10600000000000002</v>
      </c>
      <c r="DA64" s="30">
        <v>0.42900000000000005</v>
      </c>
      <c r="DB64" s="30">
        <v>52.060958549508172</v>
      </c>
      <c r="DC64" s="30">
        <v>14.207395657777338</v>
      </c>
      <c r="DD64" s="30">
        <v>47.939041450491835</v>
      </c>
      <c r="DE64" s="30">
        <v>-1.625712678248209</v>
      </c>
      <c r="DF64" s="30">
        <v>-1.6255620099763608</v>
      </c>
      <c r="DG64" s="30">
        <v>0.12601435624748364</v>
      </c>
      <c r="DH64" s="30">
        <v>0</v>
      </c>
      <c r="DI64" s="30">
        <v>0.91650000000000009</v>
      </c>
      <c r="DJ64" s="30">
        <v>0.73050000000000015</v>
      </c>
      <c r="DK64" s="30">
        <v>0.186</v>
      </c>
      <c r="DL64" s="30">
        <v>9.1264485338656982</v>
      </c>
      <c r="DM64" s="30">
        <v>13.371645589640988</v>
      </c>
      <c r="DN64" s="30">
        <v>0.041999999999999996</v>
      </c>
      <c r="DO64" s="30">
        <v>5.1469929819033533</v>
      </c>
      <c r="DP64" s="30">
        <v>0.28800000000000003</v>
      </c>
      <c r="DQ64" s="30">
        <v>0.11850000000000001</v>
      </c>
      <c r="DR64" s="30">
        <v>0.44250000000000006</v>
      </c>
      <c r="DS64" s="30">
        <v>39.250646345726892</v>
      </c>
      <c r="DT64" s="30">
        <v>16.077060605613539</v>
      </c>
      <c r="DU64" s="30">
        <v>60.749353654273115</v>
      </c>
      <c r="DV64" s="30">
        <v>-1.6061917121450755</v>
      </c>
      <c r="DW64" s="30">
        <v>-1.5504159290131554</v>
      </c>
      <c r="DX64" s="30">
        <v>0.14908127528097098</v>
      </c>
      <c r="DY64" s="30">
        <v>1</v>
      </c>
      <c r="DZ64" s="30">
        <v>1.1479999999999999</v>
      </c>
      <c r="EA64" s="30">
        <v>0.87000000000000011</v>
      </c>
      <c r="EB64" s="30">
        <v>0.23799999999999999</v>
      </c>
      <c r="EC64" s="30">
        <v>17.188738561317699</v>
      </c>
      <c r="ED64" s="30">
        <v>20.657794883512381</v>
      </c>
      <c r="EE64" s="30">
        <v>0.03925</v>
      </c>
      <c r="EF64" s="30">
        <v>0.35000000000000003</v>
      </c>
      <c r="EG64" s="30">
        <v>0.10200000000000002</v>
      </c>
      <c r="EH64" s="30">
        <v>0.59099999999999997</v>
      </c>
      <c r="EI64" s="30">
        <v>38.751991969383276</v>
      </c>
      <c r="EJ64" s="30">
        <v>11.509630466152204</v>
      </c>
      <c r="EK64" s="30">
        <v>61.248008030616724</v>
      </c>
      <c r="EL64" s="30">
        <v>-1.7097339925140016</v>
      </c>
      <c r="EM64" s="30">
        <v>-1.7281502677435523</v>
      </c>
      <c r="EN64" s="30">
        <v>0.18770681805796033</v>
      </c>
      <c r="EO64" s="30">
        <v>0.5</v>
      </c>
    </row>
    <row r="65" ht="14.25">
      <c r="A65" s="43" t="s">
        <v>139</v>
      </c>
      <c r="B65" s="43">
        <v>1</v>
      </c>
      <c r="C65" s="55">
        <v>9.0800000000000001</v>
      </c>
      <c r="D65" s="30">
        <v>0.82500000000000018</v>
      </c>
      <c r="E65" s="30">
        <v>1.1262000000000003</v>
      </c>
      <c r="F65" s="30">
        <v>2.0171999999999999</v>
      </c>
      <c r="G65" s="30">
        <v>0.066000000000000017</v>
      </c>
      <c r="H65" s="30">
        <v>10.473941524388005</v>
      </c>
      <c r="I65" s="30">
        <v>17.524687566663381</v>
      </c>
      <c r="J65" s="30">
        <v>0.44580000000000003</v>
      </c>
      <c r="K65" s="30">
        <v>53.677521303227437</v>
      </c>
      <c r="L65" s="30">
        <f>J65/F65</f>
        <v>0.22099940511600241</v>
      </c>
      <c r="M65" s="30">
        <v>-1.4690238470546984</v>
      </c>
      <c r="N65" s="31">
        <v>0.088818665215658982</v>
      </c>
      <c r="O65" s="30">
        <v>0.88919999999999999</v>
      </c>
      <c r="P65" s="30">
        <v>0.92700000000000016</v>
      </c>
      <c r="Q65" s="30">
        <v>1.8288</v>
      </c>
      <c r="R65" s="30">
        <v>0.0126</v>
      </c>
      <c r="S65" s="30">
        <v>10.358815850314258</v>
      </c>
      <c r="T65" s="30">
        <v>17.397518484295563</v>
      </c>
      <c r="U65" s="30">
        <v>0.53879999999999995</v>
      </c>
      <c r="V65" s="30">
        <v>61.035471460241126</v>
      </c>
      <c r="W65" s="30">
        <f>U65/Q65</f>
        <v>0.29461942257217844</v>
      </c>
      <c r="X65" s="30">
        <v>-1.5060008251214634</v>
      </c>
      <c r="Y65" s="31">
        <v>0.10181308011421371</v>
      </c>
      <c r="Z65" s="32">
        <f>F65-Q65</f>
        <v>0.1883999999999999</v>
      </c>
      <c r="AA65" s="30">
        <v>1.6884000000000001</v>
      </c>
      <c r="AB65" s="30">
        <v>3.3522000000000007</v>
      </c>
      <c r="AC65" s="30">
        <v>0.014400000000000001</v>
      </c>
      <c r="AD65" s="30">
        <v>0.91859999999999997</v>
      </c>
      <c r="AE65" s="30">
        <v>0.76980000000000004</v>
      </c>
      <c r="AF65" s="30">
        <v>11.858897552482343</v>
      </c>
      <c r="AG65" s="30">
        <f>AF65/AA65</f>
        <v>7.0237488465306459</v>
      </c>
      <c r="AH65" s="30">
        <v>-2.1816642594611801</v>
      </c>
      <c r="AI65" s="72">
        <f>(AE65/AA65)*100</f>
        <v>45.593461265103052</v>
      </c>
      <c r="AJ65" s="30">
        <v>1.8102</v>
      </c>
      <c r="AK65" s="30">
        <v>3.6911999999999998</v>
      </c>
      <c r="AL65" s="30">
        <v>0.015600000000000003</v>
      </c>
      <c r="AM65" s="30">
        <v>0.94920000000000004</v>
      </c>
      <c r="AN65" s="30">
        <v>0.8610000000000001</v>
      </c>
      <c r="AO65" s="30">
        <v>12.102608246966682</v>
      </c>
      <c r="AP65" s="30">
        <f>AN65/AJ65</f>
        <v>0.47563805104408358</v>
      </c>
      <c r="AQ65" s="30">
        <v>-2.4026242247322558</v>
      </c>
      <c r="AR65" s="45">
        <f>(AN65/AJ65)*100</f>
        <v>47.56380510440836</v>
      </c>
      <c r="AS65" s="46">
        <f>AJ65-AA65</f>
        <v>0.12179999999999991</v>
      </c>
      <c r="AT65" s="46">
        <f>AN65-AE65</f>
        <v>0.091200000000000059</v>
      </c>
      <c r="AU65" s="30">
        <v>0.7558873470635189</v>
      </c>
      <c r="AV65" s="30">
        <v>0.48276072666871511</v>
      </c>
      <c r="AW65" s="30">
        <v>0.86839428405574415</v>
      </c>
      <c r="AX65" s="31">
        <v>0.86872843603334959</v>
      </c>
      <c r="AY65" s="30">
        <v>2.3872</v>
      </c>
      <c r="AZ65" s="30">
        <v>1.1160000000000001</v>
      </c>
      <c r="BA65" s="30">
        <v>9.8124250937081534</v>
      </c>
      <c r="BB65" s="30">
        <v>4.1267367685938385</v>
      </c>
      <c r="BC65" s="39">
        <v>-2.2839345771293673</v>
      </c>
      <c r="BD65" s="30">
        <v>3.3335999999999997</v>
      </c>
      <c r="BE65" s="30">
        <v>1.4268000000000003</v>
      </c>
      <c r="BF65" s="30">
        <v>19.751885574223742</v>
      </c>
      <c r="BG65" s="30">
        <v>5.9644772832670307</v>
      </c>
      <c r="BH65" s="39">
        <v>-2.3368054821556203</v>
      </c>
      <c r="BI65" s="30">
        <v>3.4836</v>
      </c>
      <c r="BJ65" s="30">
        <v>1.6572</v>
      </c>
      <c r="BK65" s="30">
        <v>27.938100671779431</v>
      </c>
      <c r="BL65" s="30">
        <v>8.066936025428058</v>
      </c>
      <c r="BM65" s="39">
        <v>-2.3805094180722337</v>
      </c>
      <c r="BN65" s="30">
        <v>4.1736000000000004</v>
      </c>
      <c r="BO65" s="30">
        <v>1.8144000000000002</v>
      </c>
      <c r="BP65" s="30">
        <v>38.742408502401588</v>
      </c>
      <c r="BQ65" s="30">
        <v>9.3368276390954996</v>
      </c>
      <c r="BR65" s="39">
        <v>-2.3350530065224211</v>
      </c>
      <c r="BS65" s="30">
        <v>5.1876000000000007</v>
      </c>
      <c r="BT65" s="30">
        <v>2.484</v>
      </c>
      <c r="BU65" s="30">
        <v>47.774151521431349</v>
      </c>
      <c r="BV65" s="30">
        <v>9.2336239638977595</v>
      </c>
      <c r="BW65" s="39">
        <v>-2.3167443261599168</v>
      </c>
      <c r="BX65" s="30">
        <v>-0.051999295363040196</v>
      </c>
      <c r="BY65" s="30">
        <v>2.2162244685517813</v>
      </c>
      <c r="BZ65" s="30">
        <v>0.028000400360980171</v>
      </c>
      <c r="CA65" s="30">
        <v>2.2600000000000002</v>
      </c>
      <c r="CB65" s="30">
        <v>0.50700000000000001</v>
      </c>
      <c r="CC65" s="30">
        <v>1.7530000000000001</v>
      </c>
      <c r="CD65" s="30">
        <v>9.0636019208719958</v>
      </c>
      <c r="CE65" s="30">
        <v>17.899236392405456</v>
      </c>
      <c r="CF65" s="30">
        <v>0.035000000000000003</v>
      </c>
      <c r="CG65" s="30">
        <v>3.1604857831539817</v>
      </c>
      <c r="CH65" s="30">
        <v>0.21300000000000002</v>
      </c>
      <c r="CI65" s="30">
        <v>0.096000000000000002</v>
      </c>
      <c r="CJ65" s="30">
        <v>0.29400000000000004</v>
      </c>
      <c r="CK65" s="30">
        <v>41.991919507132486</v>
      </c>
      <c r="CL65" s="30">
        <v>18.931444654061288</v>
      </c>
      <c r="CM65" s="30">
        <v>58.008080492867506</v>
      </c>
      <c r="CN65" s="30">
        <v>-1.4245369427554628</v>
      </c>
      <c r="CO65" s="30">
        <v>-1.4151306936138932</v>
      </c>
      <c r="CP65" s="30">
        <v>0.062094162107336467</v>
      </c>
      <c r="CQ65" s="31">
        <v>0.5</v>
      </c>
      <c r="CR65" s="30">
        <v>1.7385000000000002</v>
      </c>
      <c r="CS65" s="30">
        <v>0.59850000000000003</v>
      </c>
      <c r="CT65" s="30">
        <v>1.1400000000000001</v>
      </c>
      <c r="CU65" s="30">
        <v>16.968081701411275</v>
      </c>
      <c r="CV65" s="30">
        <v>28.60109706633791</v>
      </c>
      <c r="CW65" s="30">
        <v>0.028499999999999998</v>
      </c>
      <c r="CX65" s="30">
        <v>4.0793216218297754</v>
      </c>
      <c r="CY65" s="30">
        <v>0.28350000000000003</v>
      </c>
      <c r="CZ65" s="30">
        <v>0.11550000000000002</v>
      </c>
      <c r="DA65" s="30">
        <v>0.31500000000000006</v>
      </c>
      <c r="DB65" s="30">
        <v>47.350962898207897</v>
      </c>
      <c r="DC65" s="30">
        <v>19.540187180212378</v>
      </c>
      <c r="DD65" s="30">
        <v>52.649037101792103</v>
      </c>
      <c r="DE65" s="30">
        <v>-1.4020378269230906</v>
      </c>
      <c r="DF65" s="30">
        <v>-1.4826001699974329</v>
      </c>
      <c r="DG65" s="30">
        <v>0.15743095835124474</v>
      </c>
      <c r="DH65" s="30">
        <v>0</v>
      </c>
      <c r="DI65" s="30">
        <v>1.8580000000000001</v>
      </c>
      <c r="DJ65" s="30">
        <v>0.75200000000000011</v>
      </c>
      <c r="DK65" s="30">
        <v>1.1365000000000001</v>
      </c>
      <c r="DL65" s="30">
        <v>8.7584666086404823</v>
      </c>
      <c r="DM65" s="30">
        <v>11.735041450650542</v>
      </c>
      <c r="DN65" s="30">
        <v>0.072500000000000009</v>
      </c>
      <c r="DO65" s="30">
        <v>5.1516124699935375</v>
      </c>
      <c r="DP65" s="30">
        <v>0.28650000000000003</v>
      </c>
      <c r="DQ65" s="30">
        <v>0.13950000000000001</v>
      </c>
      <c r="DR65" s="30">
        <v>0.46200000000000002</v>
      </c>
      <c r="DS65" s="30">
        <v>39.875276012456126</v>
      </c>
      <c r="DT65" s="30">
        <v>19.35222113891502</v>
      </c>
      <c r="DU65" s="30">
        <v>60.124723987543874</v>
      </c>
      <c r="DV65" s="30">
        <v>-1.405260757530103</v>
      </c>
      <c r="DW65" s="30">
        <v>-1.4835184258387188</v>
      </c>
      <c r="DX65" s="30">
        <v>0.12846412424277093</v>
      </c>
      <c r="DY65" s="30">
        <v>0.75</v>
      </c>
      <c r="DZ65" s="30">
        <v>2.048</v>
      </c>
      <c r="EA65" s="30">
        <v>1.038</v>
      </c>
      <c r="EB65" s="30">
        <v>1.0100000000000002</v>
      </c>
      <c r="EC65" s="30">
        <v>16.958264869128527</v>
      </c>
      <c r="ED65" s="30">
        <v>16.582794961431336</v>
      </c>
      <c r="EE65" s="30">
        <v>0.049000000000000002</v>
      </c>
      <c r="EF65" s="30">
        <v>0.38550000000000006</v>
      </c>
      <c r="EG65" s="30">
        <v>0.15450000000000003</v>
      </c>
      <c r="EH65" s="30">
        <v>0.65250000000000008</v>
      </c>
      <c r="EI65" s="30">
        <v>36.934657011433558</v>
      </c>
      <c r="EJ65" s="30">
        <v>14.606366946678637</v>
      </c>
      <c r="EK65" s="30">
        <v>63.065342988566442</v>
      </c>
      <c r="EL65" s="30">
        <v>-1.4128276029250837</v>
      </c>
      <c r="EM65" s="30">
        <v>-1.5441605231809783</v>
      </c>
      <c r="EN65" s="30">
        <v>0.14854464157624186</v>
      </c>
      <c r="EO65" s="30">
        <v>0.75</v>
      </c>
    </row>
    <row r="66" ht="14.25">
      <c r="A66" s="43" t="s">
        <v>139</v>
      </c>
      <c r="B66" s="43">
        <v>1</v>
      </c>
      <c r="C66" s="55">
        <v>9.0800000000000001</v>
      </c>
      <c r="D66" s="30">
        <v>0.78120000000000012</v>
      </c>
      <c r="E66" s="30">
        <v>1.0253999999999999</v>
      </c>
      <c r="F66" s="30">
        <v>1.8210000000000002</v>
      </c>
      <c r="G66" s="30">
        <v>0.014400000000000001</v>
      </c>
      <c r="H66" s="30">
        <v>10.655192864606743</v>
      </c>
      <c r="I66" s="30">
        <v>17.957336584231975</v>
      </c>
      <c r="J66" s="30">
        <v>0.43260000000000004</v>
      </c>
      <c r="K66" s="30">
        <v>54.319154211346088</v>
      </c>
      <c r="L66" s="30">
        <f>J66/F66</f>
        <v>0.23756177924217464</v>
      </c>
      <c r="M66" s="30">
        <v>-1.5324444772863712</v>
      </c>
      <c r="N66" s="31">
        <v>0.18149719691968089</v>
      </c>
      <c r="O66" s="30">
        <v>0.80533333333333346</v>
      </c>
      <c r="P66" s="30">
        <v>0.77066666666666661</v>
      </c>
      <c r="Q66" s="30">
        <v>1.5940000000000001</v>
      </c>
      <c r="R66" s="30">
        <v>0.018000000000000002</v>
      </c>
      <c r="S66" s="30">
        <v>10.457971490308354</v>
      </c>
      <c r="T66" s="30">
        <v>16.783288326350061</v>
      </c>
      <c r="U66" s="30">
        <v>0.3666666666666667</v>
      </c>
      <c r="V66" s="30">
        <v>44.392080775510983</v>
      </c>
      <c r="W66" s="30">
        <f>U66/Q66</f>
        <v>0.23002927645336679</v>
      </c>
      <c r="X66" s="30">
        <v>-1.5371618568614158</v>
      </c>
      <c r="Y66" s="31">
        <v>0.12203710005932529</v>
      </c>
      <c r="Z66" s="32">
        <f>F66-Q66</f>
        <v>0.22700000000000009</v>
      </c>
      <c r="AA66" s="30">
        <v>1.9578</v>
      </c>
      <c r="AB66" s="30">
        <v>3.7974000000000006</v>
      </c>
      <c r="AC66" s="30">
        <v>0.015599999999999999</v>
      </c>
      <c r="AD66" s="30">
        <v>1.0229999999999999</v>
      </c>
      <c r="AE66" s="30">
        <v>0.93479999999999985</v>
      </c>
      <c r="AF66" s="30">
        <v>11.433650247406941</v>
      </c>
      <c r="AG66" s="30">
        <f>AF66/AA66</f>
        <v>5.8400501825553892</v>
      </c>
      <c r="AH66" s="30">
        <v>-2.1507514620866663</v>
      </c>
      <c r="AI66" s="72">
        <f>(AE66/AA66)*100</f>
        <v>47.74747165185412</v>
      </c>
      <c r="AJ66" s="30">
        <v>2.3928000000000003</v>
      </c>
      <c r="AK66" s="30">
        <v>4.1952000000000007</v>
      </c>
      <c r="AL66" s="30">
        <v>0.018600000000000002</v>
      </c>
      <c r="AM66" s="30">
        <v>1.2989999999999999</v>
      </c>
      <c r="AN66" s="30">
        <v>1.0937999999999999</v>
      </c>
      <c r="AO66" s="30">
        <v>11.577500976621604</v>
      </c>
      <c r="AP66" s="30">
        <f>AN66/AJ66</f>
        <v>0.45712136409227672</v>
      </c>
      <c r="AQ66" s="30">
        <v>-2.3601245608915749</v>
      </c>
      <c r="AR66" s="45">
        <f>(AN66/AJ66)*100</f>
        <v>45.712136409227675</v>
      </c>
      <c r="AS66" s="46">
        <f>AJ66-AA66</f>
        <v>0.43500000000000028</v>
      </c>
      <c r="AT66" s="46">
        <f>AN66-AE66</f>
        <v>0.15900000000000003</v>
      </c>
      <c r="AU66" s="30">
        <v>2.7410258224905757</v>
      </c>
      <c r="AV66" s="30">
        <v>0.07933135695767822</v>
      </c>
      <c r="AW66" s="30">
        <v>0.0069705279324393521</v>
      </c>
      <c r="AX66" s="31">
        <v>0.0071218269502232321</v>
      </c>
      <c r="AY66" s="30">
        <v>1.9472</v>
      </c>
      <c r="AZ66" s="30">
        <v>0.98880000000000001</v>
      </c>
      <c r="BA66" s="30">
        <v>9.3748730928625648</v>
      </c>
      <c r="BB66" s="30">
        <v>5.3016790082917682</v>
      </c>
      <c r="BC66" s="39">
        <v>-2.2301321882555514</v>
      </c>
      <c r="BD66" s="30">
        <v>4.6308000000000007</v>
      </c>
      <c r="BE66" s="30">
        <v>2.2800000000000002</v>
      </c>
      <c r="BF66" s="30">
        <v>18.718405760433232</v>
      </c>
      <c r="BG66" s="30">
        <v>4.242191144208201</v>
      </c>
      <c r="BH66" s="39">
        <v>-2.4640705585988218</v>
      </c>
      <c r="BI66" s="30">
        <v>6.8687999999999985</v>
      </c>
      <c r="BJ66" s="30">
        <v>3.4896000000000003</v>
      </c>
      <c r="BK66" s="30">
        <v>29.421290166319942</v>
      </c>
      <c r="BL66" s="30">
        <v>4.4607478895634944</v>
      </c>
      <c r="BM66" s="39">
        <v>-2.4295725395912995</v>
      </c>
      <c r="BN66" s="30">
        <v>1.8312000000000004</v>
      </c>
      <c r="BO66" s="30">
        <v>0.89160000000000006</v>
      </c>
      <c r="BP66" s="30">
        <v>36.34839695591134</v>
      </c>
      <c r="BQ66" s="30">
        <v>20.453765395473916</v>
      </c>
      <c r="BR66" s="39">
        <v>-2.0765051901967473</v>
      </c>
      <c r="BS66" s="30">
        <v>2.3891999999999998</v>
      </c>
      <c r="BT66" s="30">
        <v>1.1592</v>
      </c>
      <c r="BU66" s="30">
        <v>45.953422724531634</v>
      </c>
      <c r="BV66" s="30">
        <v>20.645351098053577</v>
      </c>
      <c r="BW66" s="39">
        <v>-2.2135603470343144</v>
      </c>
      <c r="BX66" s="30">
        <v>0.16365703175280752</v>
      </c>
      <c r="BY66" s="30">
        <v>0.60730603181336562</v>
      </c>
      <c r="BZ66" s="30">
        <v>0.45628620371506989</v>
      </c>
      <c r="CA66" s="30">
        <v>1.00875</v>
      </c>
      <c r="CB66" s="30">
        <v>0.64950000000000008</v>
      </c>
      <c r="CC66" s="30">
        <v>0.35924999999999996</v>
      </c>
      <c r="CD66" s="30">
        <v>8.5101809559089077</v>
      </c>
      <c r="CE66" s="30">
        <v>13.878772839602458</v>
      </c>
      <c r="CF66" s="30">
        <v>0.069750000000000006</v>
      </c>
      <c r="CG66" s="30">
        <v>3.0814826666896615</v>
      </c>
      <c r="CH66" s="30">
        <v>0.44250000000000006</v>
      </c>
      <c r="CI66" s="30">
        <v>0.29549999999999998</v>
      </c>
      <c r="CJ66" s="30">
        <v>0.20700000000000002</v>
      </c>
      <c r="CK66" s="30">
        <v>65.136139097157141</v>
      </c>
      <c r="CL66" s="30">
        <v>39.674844620924382</v>
      </c>
      <c r="CM66" s="30">
        <v>34.863860902842859</v>
      </c>
      <c r="CN66" s="30">
        <v>-1.5630158608367115</v>
      </c>
      <c r="CO66" s="30">
        <v>-1.5811554943338013</v>
      </c>
      <c r="CP66" s="30">
        <v>0.081529471764793304</v>
      </c>
      <c r="CQ66" s="31">
        <v>0</v>
      </c>
      <c r="CR66" s="30">
        <v>1.4957499999999999</v>
      </c>
      <c r="CS66" s="30">
        <v>1.1400000000000001</v>
      </c>
      <c r="CT66" s="30">
        <v>0.35575000000000001</v>
      </c>
      <c r="CU66" s="30">
        <v>18.558581159558816</v>
      </c>
      <c r="CV66" s="30">
        <v>16.635863614499442</v>
      </c>
      <c r="CW66" s="30">
        <v>0.020750000000000001</v>
      </c>
      <c r="CX66" s="30">
        <v>4.0751849290015691</v>
      </c>
      <c r="CY66" s="30">
        <v>0.60750000000000004</v>
      </c>
      <c r="CZ66" s="30">
        <v>0.26250000000000001</v>
      </c>
      <c r="DA66" s="30">
        <v>0.53249999999999997</v>
      </c>
      <c r="DB66" s="30">
        <v>55.494743837343741</v>
      </c>
      <c r="DC66" s="30">
        <v>23.837457362681487</v>
      </c>
      <c r="DD66" s="30">
        <v>44.505256162656266</v>
      </c>
      <c r="DE66" s="30">
        <v>-1.5883641366884607</v>
      </c>
      <c r="DF66" s="30">
        <v>-1.7504871365684003</v>
      </c>
      <c r="DG66" s="30">
        <v>0.63123612971856502</v>
      </c>
      <c r="DH66" s="30">
        <v>1.5</v>
      </c>
      <c r="DI66" s="30">
        <v>1.2503333333333335</v>
      </c>
      <c r="DJ66" s="30">
        <v>0.91400000000000003</v>
      </c>
      <c r="DK66" s="30">
        <v>0.33633333333333337</v>
      </c>
      <c r="DL66" s="30">
        <v>8.8756190671195316</v>
      </c>
      <c r="DM66" s="30">
        <v>9.7203226084127454</v>
      </c>
      <c r="DN66" s="30">
        <v>0.072249999999999995</v>
      </c>
      <c r="DO66" s="30">
        <v>5.1412964455485914</v>
      </c>
      <c r="DP66" s="30">
        <v>0.314</v>
      </c>
      <c r="DQ66" s="30">
        <v>0.222</v>
      </c>
      <c r="DR66" s="30">
        <v>0.60000000000000009</v>
      </c>
      <c r="DS66" s="30">
        <v>34.391735183922293</v>
      </c>
      <c r="DT66" s="30">
        <v>24.256128036830528</v>
      </c>
      <c r="DU66" s="30">
        <v>65.608264816077721</v>
      </c>
      <c r="DV66" s="30">
        <v>-1.599655488401569</v>
      </c>
      <c r="DW66" s="30">
        <v>-1.4710918756040272</v>
      </c>
      <c r="DX66" s="30">
        <v>0.091376711565682611</v>
      </c>
      <c r="DY66" s="30">
        <v>1.3333333333333333</v>
      </c>
      <c r="DZ66" s="30">
        <v>1.645</v>
      </c>
      <c r="EA66" s="30">
        <v>1.1880000000000002</v>
      </c>
      <c r="EB66" s="30">
        <v>0.45699999999999996</v>
      </c>
      <c r="EC66" s="30">
        <v>17.278600605444982</v>
      </c>
      <c r="ED66" s="30">
        <v>14.718488539547675</v>
      </c>
      <c r="EE66" s="30">
        <v>0.063500000000000001</v>
      </c>
      <c r="EF66" s="30">
        <v>0.56099999999999994</v>
      </c>
      <c r="EG66" s="30">
        <v>0.25950000000000001</v>
      </c>
      <c r="EH66" s="30">
        <v>0.627</v>
      </c>
      <c r="EI66" s="30">
        <v>46.547820044204386</v>
      </c>
      <c r="EJ66" s="30">
        <v>21.067842834614332</v>
      </c>
      <c r="EK66" s="30">
        <v>53.452179955795614</v>
      </c>
      <c r="EL66" s="30">
        <v>-1.5410920299818998</v>
      </c>
      <c r="EM66" s="30">
        <v>-1.6313809932937751</v>
      </c>
      <c r="EN66" s="30">
        <v>0.30259287412541325</v>
      </c>
      <c r="EO66" s="30">
        <v>1</v>
      </c>
    </row>
    <row r="67" ht="14.25">
      <c r="A67" s="64" t="s">
        <v>139</v>
      </c>
      <c r="B67" s="43">
        <v>1</v>
      </c>
      <c r="C67" s="64">
        <v>9.0800000000000001</v>
      </c>
      <c r="D67" s="30">
        <v>0.89250000000000007</v>
      </c>
      <c r="E67" s="30">
        <v>1.4655</v>
      </c>
      <c r="F67" s="30">
        <v>2.60175</v>
      </c>
      <c r="G67" s="30">
        <v>0.24375000000000002</v>
      </c>
      <c r="H67" s="30">
        <v>10.475812679819029</v>
      </c>
      <c r="I67" s="30">
        <v>17.060834276842591</v>
      </c>
      <c r="J67" s="30">
        <v>0.5535000000000001</v>
      </c>
      <c r="K67" s="30">
        <v>59.3063802774262</v>
      </c>
      <c r="L67" s="30">
        <f>J67/F67</f>
        <v>0.21274142404151056</v>
      </c>
      <c r="M67" s="30">
        <v>-1.6024113222195229</v>
      </c>
      <c r="N67" s="31">
        <v>0.2273073951704444</v>
      </c>
      <c r="O67" s="30">
        <v>0.90150000000000008</v>
      </c>
      <c r="P67" s="30">
        <v>0.76724999999999999</v>
      </c>
      <c r="Q67" s="30">
        <v>1.7325000000000002</v>
      </c>
      <c r="R67" s="30">
        <v>0.063750000000000001</v>
      </c>
      <c r="S67" s="30">
        <v>10.492265131904936</v>
      </c>
      <c r="T67" s="30">
        <v>16.528807336535888</v>
      </c>
      <c r="U67" s="30">
        <v>0.40050000000000008</v>
      </c>
      <c r="V67" s="30">
        <v>39.655644777148076</v>
      </c>
      <c r="W67" s="30">
        <f>U67/Q67</f>
        <v>0.23116883116883119</v>
      </c>
      <c r="X67" s="30">
        <v>-1.6782746481872584</v>
      </c>
      <c r="Y67" s="31">
        <v>0.28671287383674937</v>
      </c>
      <c r="Z67" s="32">
        <f>F67-Q67</f>
        <v>0.86924999999999986</v>
      </c>
      <c r="AA67" s="67">
        <v>3.2214</v>
      </c>
      <c r="AB67" s="67">
        <v>6.6353999999999997</v>
      </c>
      <c r="AC67" s="67">
        <v>0.0132</v>
      </c>
      <c r="AD67" s="67">
        <v>1.7664000000000002</v>
      </c>
      <c r="AE67" s="67">
        <v>1.4550000000000001</v>
      </c>
      <c r="AF67" s="67">
        <v>11.710957544543188</v>
      </c>
      <c r="AG67" s="30">
        <f>AF67/AA67</f>
        <v>3.6353627443171255</v>
      </c>
      <c r="AH67" s="67">
        <v>-2.5579789104007529</v>
      </c>
      <c r="AI67" s="73">
        <f>(AE67/AA67)*100</f>
        <v>45.16669770907059</v>
      </c>
      <c r="AJ67" s="67">
        <v>3.0432000000000001</v>
      </c>
      <c r="AK67" s="67">
        <v>6.0167999999999999</v>
      </c>
      <c r="AL67" s="67">
        <v>0.047400000000000012</v>
      </c>
      <c r="AM67" s="67">
        <v>1.6434000000000002</v>
      </c>
      <c r="AN67" s="67">
        <v>1.3997999999999999</v>
      </c>
      <c r="AO67" s="67">
        <v>11.604547975993725</v>
      </c>
      <c r="AP67" s="30">
        <f>AN67/AJ67</f>
        <v>0.45997634069400628</v>
      </c>
      <c r="AQ67" s="67">
        <v>-2.5890106688311354</v>
      </c>
      <c r="AR67" s="70">
        <f>(AN67/AJ67)*100</f>
        <v>45.997634069400625</v>
      </c>
      <c r="AS67" s="71">
        <f>AJ67-AA67</f>
        <v>-0.17819999999999991</v>
      </c>
      <c r="AT67" s="71">
        <f>AN67-AE67</f>
        <v>-0.055200000000000138</v>
      </c>
      <c r="AU67" s="30">
        <v>6.2396974043218814</v>
      </c>
      <c r="AV67" s="30">
        <v>0.12392607758170932</v>
      </c>
      <c r="AW67" s="30">
        <v>0.041295851948444207</v>
      </c>
      <c r="AX67" s="31">
        <v>0.041427275589538196</v>
      </c>
      <c r="AY67" s="30">
        <v>9.3887999999999998</v>
      </c>
      <c r="AZ67" s="30">
        <v>3.8031999999999995</v>
      </c>
      <c r="BA67" s="30">
        <v>10.523414594555906</v>
      </c>
      <c r="BB67" s="30">
        <v>1.2634960774216617</v>
      </c>
      <c r="BC67" s="39">
        <v>-2.7719275201878473</v>
      </c>
      <c r="BD67" s="30">
        <v>8.1143999999999998</v>
      </c>
      <c r="BE67" s="30">
        <v>3.7428000000000003</v>
      </c>
      <c r="BF67" s="30">
        <v>20.242522325717971</v>
      </c>
      <c r="BG67" s="30">
        <v>2.5565659637656504</v>
      </c>
      <c r="BH67" s="39">
        <v>-2.6905580619724536</v>
      </c>
      <c r="BI67" s="30">
        <v>9.1524000000000019</v>
      </c>
      <c r="BJ67" s="30">
        <v>4.3104000000000005</v>
      </c>
      <c r="BK67" s="30">
        <v>29.815123975438517</v>
      </c>
      <c r="BL67" s="30">
        <v>3.2672149577822638</v>
      </c>
      <c r="BM67" s="39">
        <v>-2.8950515508413348</v>
      </c>
      <c r="BN67" s="30">
        <v>7.5516000000000005</v>
      </c>
      <c r="BO67" s="30">
        <v>3.2064000000000008</v>
      </c>
      <c r="BP67" s="30">
        <v>40.092912454097061</v>
      </c>
      <c r="BQ67" s="30">
        <v>5.3997719287415329</v>
      </c>
      <c r="BR67" s="39">
        <v>-2.5954239387180147</v>
      </c>
      <c r="BS67" s="30">
        <v>12.680400000000001</v>
      </c>
      <c r="BT67" s="30">
        <v>6.0600000000000005</v>
      </c>
      <c r="BU67" s="30">
        <v>48.88857550320477</v>
      </c>
      <c r="BV67" s="30">
        <v>4.0098072692551678</v>
      </c>
      <c r="BW67" s="39">
        <v>-2.8529419191083982</v>
      </c>
      <c r="BX67" s="66">
        <v>0.1886732283565544</v>
      </c>
      <c r="BY67" s="67">
        <v>0.79322759274678523</v>
      </c>
      <c r="BZ67" s="67">
        <v>0.18506860801676916</v>
      </c>
      <c r="CA67" s="30">
        <v>1.23125</v>
      </c>
      <c r="CB67" s="30">
        <v>0.68700000000000006</v>
      </c>
      <c r="CC67" s="30">
        <v>0.54425000000000001</v>
      </c>
      <c r="CD67" s="30">
        <v>8.5007335331089102</v>
      </c>
      <c r="CE67" s="30">
        <v>12.736847031970221</v>
      </c>
      <c r="CF67" s="30">
        <v>0.063250000000000001</v>
      </c>
      <c r="CG67" s="30">
        <v>3.0789500709988848</v>
      </c>
      <c r="CH67" s="30">
        <v>0.36299999999999999</v>
      </c>
      <c r="CI67" s="30">
        <v>0.19799999999999998</v>
      </c>
      <c r="CJ67" s="30">
        <v>0.32400000000000007</v>
      </c>
      <c r="CK67" s="30">
        <v>52.101344054320769</v>
      </c>
      <c r="CL67" s="30">
        <v>27.46309359037221</v>
      </c>
      <c r="CM67" s="30">
        <v>47.898655945679224</v>
      </c>
      <c r="CN67" s="30">
        <v>-1.4802275147452977</v>
      </c>
      <c r="CO67" s="30">
        <v>-1.519640374706221</v>
      </c>
      <c r="CP67" s="30">
        <v>0.12254258620607375</v>
      </c>
      <c r="CQ67" s="31">
        <v>0</v>
      </c>
      <c r="CR67" s="30">
        <v>1.8202500000000001</v>
      </c>
      <c r="CS67" s="30">
        <v>1.0245</v>
      </c>
      <c r="CT67" s="30">
        <v>0.79575000000000018</v>
      </c>
      <c r="CU67" s="30">
        <v>15.87953890964574</v>
      </c>
      <c r="CV67" s="30">
        <v>16.589457000726672</v>
      </c>
      <c r="CW67" s="30">
        <v>0.033750000000000002</v>
      </c>
      <c r="CX67" s="30">
        <v>3.9846617724127222</v>
      </c>
      <c r="CY67" s="30">
        <v>0.504</v>
      </c>
      <c r="CZ67" s="30">
        <v>0.29099999999999998</v>
      </c>
      <c r="DA67" s="30">
        <v>0.52049999999999996</v>
      </c>
      <c r="DB67" s="30">
        <v>47.849225890629498</v>
      </c>
      <c r="DC67" s="30">
        <v>26.409222312983569</v>
      </c>
      <c r="DD67" s="30">
        <v>52.150774109370516</v>
      </c>
      <c r="DE67" s="30">
        <v>-1.5462016549758539</v>
      </c>
      <c r="DF67" s="30">
        <v>-1.5598949478839603</v>
      </c>
      <c r="DG67" s="30">
        <v>0.11248955204240038</v>
      </c>
      <c r="DH67" s="30">
        <v>0.75</v>
      </c>
      <c r="DI67" s="30">
        <v>1.6095000000000002</v>
      </c>
      <c r="DJ67" s="30">
        <v>1.0470000000000002</v>
      </c>
      <c r="DK67" s="30">
        <v>0.5625</v>
      </c>
      <c r="DL67" s="30">
        <v>8.702273279136314</v>
      </c>
      <c r="DM67" s="30">
        <v>8.4874251897991133</v>
      </c>
      <c r="DN67" s="30">
        <v>0.067500000000000004</v>
      </c>
      <c r="DO67" s="30">
        <v>5.115887012861938</v>
      </c>
      <c r="DP67" s="30">
        <v>0.50250000000000006</v>
      </c>
      <c r="DQ67" s="30">
        <v>0.25800000000000001</v>
      </c>
      <c r="DR67" s="30">
        <v>0.5445000000000001</v>
      </c>
      <c r="DS67" s="30">
        <v>47.430377526390743</v>
      </c>
      <c r="DT67" s="30">
        <v>25.5128173398226</v>
      </c>
      <c r="DU67" s="30">
        <v>52.56962247360925</v>
      </c>
      <c r="DV67" s="30">
        <v>-1.6353190768221317</v>
      </c>
      <c r="DW67" s="30">
        <v>-1.6651600270062126</v>
      </c>
      <c r="DX67" s="30">
        <v>0.080128109126208505</v>
      </c>
      <c r="DY67" s="30">
        <v>1</v>
      </c>
      <c r="DZ67" s="30">
        <v>1.9537500000000001</v>
      </c>
      <c r="EA67" s="30">
        <v>1.1970000000000001</v>
      </c>
      <c r="EB67" s="30">
        <v>0.75675000000000003</v>
      </c>
      <c r="EC67" s="30">
        <v>16.77601237463319</v>
      </c>
      <c r="ED67" s="30">
        <v>14.460198704505412</v>
      </c>
      <c r="EE67" s="30">
        <v>0.04725</v>
      </c>
      <c r="EF67" s="30">
        <v>0.43200000000000005</v>
      </c>
      <c r="EG67" s="30">
        <v>0.18000000000000002</v>
      </c>
      <c r="EH67" s="30">
        <v>0.76500000000000012</v>
      </c>
      <c r="EI67" s="30">
        <v>35.39961957317594</v>
      </c>
      <c r="EJ67" s="30">
        <v>14.394211030280562</v>
      </c>
      <c r="EK67" s="30">
        <v>64.60038042682406</v>
      </c>
      <c r="EL67" s="30">
        <v>-1.5920474577568342</v>
      </c>
      <c r="EM67" s="30">
        <v>-1.5967312657558645</v>
      </c>
      <c r="EN67" s="30">
        <v>0.15978705141341981</v>
      </c>
      <c r="EO67" s="30">
        <v>1.75</v>
      </c>
    </row>
    <row r="68" ht="14.25">
      <c r="A68" s="59" t="s">
        <v>138</v>
      </c>
      <c r="B68" s="59">
        <v>2</v>
      </c>
      <c r="C68" s="74">
        <v>10</v>
      </c>
      <c r="D68" s="75">
        <v>0.82500000000000018</v>
      </c>
      <c r="E68" s="75">
        <v>1.2564000000000002</v>
      </c>
      <c r="F68" s="75">
        <v>2.1030000000000006</v>
      </c>
      <c r="G68" s="75">
        <v>0.021600000000000001</v>
      </c>
      <c r="H68" s="75">
        <v>10.973400724649341</v>
      </c>
      <c r="I68" s="75">
        <v>17.95740002900407</v>
      </c>
      <c r="J68" s="75">
        <v>0.48600000000000004</v>
      </c>
      <c r="K68" s="75">
        <v>60.409016754111903</v>
      </c>
      <c r="L68" s="30">
        <f>J68/F68</f>
        <v>0.23109843081312406</v>
      </c>
      <c r="M68" s="75">
        <v>-1.4988287110282501</v>
      </c>
      <c r="N68" s="76">
        <v>0.16147860524478358</v>
      </c>
      <c r="O68" s="75">
        <v>0.75266666666666682</v>
      </c>
      <c r="P68" s="75">
        <v>0.68000000000000005</v>
      </c>
      <c r="Q68" s="75">
        <v>1.484</v>
      </c>
      <c r="R68" s="75">
        <v>0.051333333333333335</v>
      </c>
      <c r="S68" s="75">
        <v>10.553126701733753</v>
      </c>
      <c r="T68" s="75">
        <v>17.840151436384716</v>
      </c>
      <c r="U68" s="75">
        <v>0.45200000000000007</v>
      </c>
      <c r="V68" s="75">
        <v>59.609275551972964</v>
      </c>
      <c r="W68" s="30">
        <f>U68/Q68</f>
        <v>0.30458221024258764</v>
      </c>
      <c r="X68" s="75">
        <v>-1.4818732302206752</v>
      </c>
      <c r="Y68" s="76">
        <v>0.21491614864517222</v>
      </c>
      <c r="Z68" s="32">
        <f>F68-Q68</f>
        <v>0.61900000000000066</v>
      </c>
      <c r="AA68" s="77">
        <v>1.8678000000000001</v>
      </c>
      <c r="AB68" s="75">
        <v>3.1908000000000003</v>
      </c>
      <c r="AC68" s="75">
        <v>0.0048000000000000004</v>
      </c>
      <c r="AD68" s="75">
        <v>1.1496</v>
      </c>
      <c r="AE68" s="75">
        <v>0.71819999999999995</v>
      </c>
      <c r="AF68" s="75">
        <v>11.924442941543578</v>
      </c>
      <c r="AG68" s="30">
        <f>AF68/AA68</f>
        <v>6.3842183004302271</v>
      </c>
      <c r="AH68" s="75">
        <v>-1.9596510922173729</v>
      </c>
      <c r="AI68" s="35">
        <f>(AE68/AA68)*100</f>
        <v>38.451654352714421</v>
      </c>
      <c r="AJ68" s="75">
        <v>1.5726666666666669</v>
      </c>
      <c r="AK68" s="75">
        <v>2.972</v>
      </c>
      <c r="AL68" s="75">
        <v>0.012666666666666668</v>
      </c>
      <c r="AM68" s="75">
        <v>0.8613333333333334</v>
      </c>
      <c r="AN68" s="75">
        <v>0.71133333333333337</v>
      </c>
      <c r="AO68" s="75">
        <v>11.851013966432562</v>
      </c>
      <c r="AP68" s="30">
        <f>AN68/AJ68</f>
        <v>0.45231030097498937</v>
      </c>
      <c r="AQ68" s="75">
        <v>-2.0470391372426686</v>
      </c>
      <c r="AR68" s="37">
        <f>(AN68/AJ68)*100</f>
        <v>45.231030097498937</v>
      </c>
      <c r="AS68" s="38">
        <f>AJ68-AA68</f>
        <v>-0.29513333333333325</v>
      </c>
      <c r="AT68" s="38">
        <f>AN68-AE68</f>
        <v>-0.0068666666666665765</v>
      </c>
      <c r="AU68" s="75">
        <v>1.4897592921291374</v>
      </c>
      <c r="AV68" s="75">
        <v>0.31128356539155921</v>
      </c>
      <c r="AW68" s="75">
        <v>0.3816227696180281</v>
      </c>
      <c r="AX68" s="76">
        <v>0.3826007005955383</v>
      </c>
      <c r="AY68" s="75">
        <v>2.6052000000000004</v>
      </c>
      <c r="AZ68" s="75">
        <v>1.2296</v>
      </c>
      <c r="BA68" s="75">
        <v>10.186448577849998</v>
      </c>
      <c r="BB68" s="75">
        <v>3.9601252727962049</v>
      </c>
      <c r="BC68" s="78">
        <v>-2.1120127527121162</v>
      </c>
      <c r="BD68" s="75">
        <v>3.7020000000000004</v>
      </c>
      <c r="BE68" s="75">
        <v>1.8311999999999997</v>
      </c>
      <c r="BF68" s="75">
        <v>20.082523340860625</v>
      </c>
      <c r="BG68" s="75">
        <v>5.4623073960363389</v>
      </c>
      <c r="BH68" s="78">
        <v>-2.180733454111885</v>
      </c>
      <c r="BI68" s="75">
        <v>5.4311999999999996</v>
      </c>
      <c r="BJ68" s="75">
        <v>2.6231999999999998</v>
      </c>
      <c r="BK68" s="75">
        <v>29.691332333405562</v>
      </c>
      <c r="BL68" s="75">
        <v>5.6394117884876369</v>
      </c>
      <c r="BM68" s="78">
        <v>-2.4148083854387905</v>
      </c>
      <c r="BN68" s="75">
        <v>4.7544000000000004</v>
      </c>
      <c r="BO68" s="75">
        <v>2.2991999999999999</v>
      </c>
      <c r="BP68" s="75">
        <v>39.279342382965169</v>
      </c>
      <c r="BQ68" s="75">
        <v>8.5875669195187641</v>
      </c>
      <c r="BR68" s="78">
        <v>-2.2345391680623723</v>
      </c>
      <c r="BS68" s="75">
        <v>4.2924000000000007</v>
      </c>
      <c r="BT68" s="75">
        <v>2.0220000000000002</v>
      </c>
      <c r="BU68" s="75">
        <v>49.144781241368264</v>
      </c>
      <c r="BV68" s="75">
        <v>11.681297253365134</v>
      </c>
      <c r="BW68" s="78">
        <v>-2.047607159385918</v>
      </c>
      <c r="BX68" s="79">
        <v>0.35375045809603667</v>
      </c>
      <c r="BY68" s="79">
        <v>-0.20658300479934172</v>
      </c>
      <c r="BZ68" s="79">
        <v>0.23408548358564385</v>
      </c>
      <c r="CA68" s="75">
        <v>0.87575000000000025</v>
      </c>
      <c r="CB68" s="75">
        <v>0.59699999999999998</v>
      </c>
      <c r="CC68" s="75">
        <v>0.27875000000000005</v>
      </c>
      <c r="CD68" s="75">
        <v>8.8034120598641969</v>
      </c>
      <c r="CE68" s="75">
        <v>14.825525260158262</v>
      </c>
      <c r="CF68" s="75">
        <v>0.048250000000000001</v>
      </c>
      <c r="CG68" s="75">
        <v>3.1282186509390719</v>
      </c>
      <c r="CH68" s="75">
        <v>0.25650000000000001</v>
      </c>
      <c r="CI68" s="75">
        <v>0.069000000000000006</v>
      </c>
      <c r="CJ68" s="75">
        <v>0.34050000000000002</v>
      </c>
      <c r="CK68" s="75">
        <v>43.186735944467905</v>
      </c>
      <c r="CL68" s="75">
        <v>11.613232128696048</v>
      </c>
      <c r="CM68" s="75">
        <v>56.813264055532088</v>
      </c>
      <c r="CN68" s="75">
        <v>-1.5290987680918839</v>
      </c>
      <c r="CO68" s="75">
        <v>-1.5303239119457048</v>
      </c>
      <c r="CP68" s="75">
        <v>0.1649123041361045</v>
      </c>
      <c r="CQ68" s="76">
        <v>0.25</v>
      </c>
      <c r="CR68" s="75">
        <v>1.0912500000000001</v>
      </c>
      <c r="CS68" s="75">
        <v>0.72599999999999998</v>
      </c>
      <c r="CT68" s="75">
        <v>0.36524999999999996</v>
      </c>
      <c r="CU68" s="75">
        <v>17.357707495444259</v>
      </c>
      <c r="CV68" s="75">
        <v>24.425997864755466</v>
      </c>
      <c r="CW68" s="75">
        <v>0.041250000000000002</v>
      </c>
      <c r="CX68" s="75">
        <v>4.114137965445094</v>
      </c>
      <c r="CY68" s="75">
        <v>0.32100000000000001</v>
      </c>
      <c r="CZ68" s="75">
        <v>0.070500000000000007</v>
      </c>
      <c r="DA68" s="75">
        <v>0.40499999999999997</v>
      </c>
      <c r="DB68" s="75">
        <v>45.760640988672478</v>
      </c>
      <c r="DC68" s="75">
        <v>9.8772978301462935</v>
      </c>
      <c r="DD68" s="75">
        <v>54.239359011327522</v>
      </c>
      <c r="DE68" s="75">
        <v>-1.4821666644237546</v>
      </c>
      <c r="DF68" s="75">
        <v>-1.562004644701624</v>
      </c>
      <c r="DG68" s="75">
        <v>0.13004527167213698</v>
      </c>
      <c r="DH68" s="75">
        <v>0.25</v>
      </c>
      <c r="DI68" s="75">
        <v>1.9265000000000001</v>
      </c>
      <c r="DJ68" s="75">
        <v>1.0004999999999999</v>
      </c>
      <c r="DK68" s="75">
        <v>0.92600000000000016</v>
      </c>
      <c r="DL68" s="75">
        <v>8.4495518541784982</v>
      </c>
      <c r="DM68" s="75">
        <v>9.1732099066090633</v>
      </c>
      <c r="DN68" s="75">
        <v>0.029499999999999992</v>
      </c>
      <c r="DO68" s="75">
        <v>5.0729670908639486</v>
      </c>
      <c r="DP68" s="75">
        <v>0.40650000000000003</v>
      </c>
      <c r="DQ68" s="75">
        <v>-0.57600000000000007</v>
      </c>
      <c r="DR68" s="75">
        <v>0.59400000000000008</v>
      </c>
      <c r="DS68" s="75">
        <v>38.586947278090037</v>
      </c>
      <c r="DT68" s="75">
        <v>-42.817062799371975</v>
      </c>
      <c r="DU68" s="75">
        <v>61.413052721909956</v>
      </c>
      <c r="DV68" s="75">
        <v>-1.5354393974519145</v>
      </c>
      <c r="DW68" s="75">
        <v>-1.6035264138027359</v>
      </c>
      <c r="DX68" s="75">
        <v>0.11138081704031597</v>
      </c>
      <c r="DY68" s="75">
        <v>0.75</v>
      </c>
      <c r="DZ68" s="75">
        <v>1.7867500000000003</v>
      </c>
      <c r="EA68" s="75">
        <v>1.6559999999999999</v>
      </c>
      <c r="EB68" s="75">
        <v>0.33774999999999999</v>
      </c>
      <c r="EC68" s="75">
        <v>18.984343595232918</v>
      </c>
      <c r="ED68" s="75">
        <v>14.168470646678502</v>
      </c>
      <c r="EE68" s="75">
        <v>0.025250000000000002</v>
      </c>
      <c r="EF68" s="75">
        <v>0.34950000000000003</v>
      </c>
      <c r="EG68" s="75">
        <v>0.10800000000000001</v>
      </c>
      <c r="EH68" s="75">
        <v>1.282</v>
      </c>
      <c r="EI68" s="75">
        <v>31.439062500000006</v>
      </c>
      <c r="EJ68" s="75">
        <v>10.344738828502416</v>
      </c>
      <c r="EK68" s="75">
        <v>68.560937500000009</v>
      </c>
      <c r="EL68" s="75">
        <v>-1.5013178167268455</v>
      </c>
      <c r="EM68" s="75">
        <v>-1.5445366645070882</v>
      </c>
      <c r="EN68" s="75">
        <v>0.15633222619472587</v>
      </c>
      <c r="EO68" s="75">
        <v>3.25</v>
      </c>
    </row>
    <row r="69" ht="14.25">
      <c r="A69" s="52" t="s">
        <v>138</v>
      </c>
      <c r="B69" s="52">
        <v>2</v>
      </c>
      <c r="C69" s="61">
        <v>10</v>
      </c>
      <c r="D69" s="30">
        <v>0.81150000000000011</v>
      </c>
      <c r="E69" s="30">
        <v>1.0934999999999999</v>
      </c>
      <c r="F69" s="30">
        <v>2.3955000000000006</v>
      </c>
      <c r="G69" s="30">
        <v>0.49049999999999999</v>
      </c>
      <c r="H69" s="30">
        <v>10.270968388657746</v>
      </c>
      <c r="I69" s="30">
        <v>17.744475624482245</v>
      </c>
      <c r="J69" s="30">
        <v>0.38400000000000001</v>
      </c>
      <c r="K69" s="30">
        <v>46.083988500428724</v>
      </c>
      <c r="L69" s="30">
        <f>J69/F69</f>
        <v>0.16030056355666872</v>
      </c>
      <c r="M69" s="30">
        <v>-1.52257161595329</v>
      </c>
      <c r="N69" s="31">
        <v>0.087637703940523615</v>
      </c>
      <c r="O69" s="30">
        <v>0.70800000000000007</v>
      </c>
      <c r="P69" s="30">
        <v>0.82499999999999996</v>
      </c>
      <c r="Q69" s="30">
        <v>1.8696000000000002</v>
      </c>
      <c r="R69" s="30">
        <v>0.33659999999999995</v>
      </c>
      <c r="S69" s="30">
        <v>10.26051549659973</v>
      </c>
      <c r="T69" s="30">
        <v>17.082032637152686</v>
      </c>
      <c r="U69" s="30">
        <v>0.34320000000000006</v>
      </c>
      <c r="V69" s="30">
        <v>48.771386818976431</v>
      </c>
      <c r="W69" s="30">
        <f>U69/Q69</f>
        <v>0.18356867779204109</v>
      </c>
      <c r="X69" s="30">
        <v>-1.4625814338403824</v>
      </c>
      <c r="Y69" s="31">
        <v>0.16017156189291465</v>
      </c>
      <c r="Z69" s="32">
        <f>F69-Q69</f>
        <v>0.52590000000000048</v>
      </c>
      <c r="AA69" s="30">
        <v>2.1882000000000001</v>
      </c>
      <c r="AB69" s="30">
        <v>4.3529999999999998</v>
      </c>
      <c r="AC69" s="30">
        <v>0.014400000000000001</v>
      </c>
      <c r="AD69" s="30">
        <v>1.2786</v>
      </c>
      <c r="AE69" s="30">
        <v>0.90959999999999996</v>
      </c>
      <c r="AF69" s="30">
        <v>11.380902499228508</v>
      </c>
      <c r="AG69" s="30">
        <f>AF69/AA69</f>
        <v>5.2010339544961646</v>
      </c>
      <c r="AH69" s="30">
        <v>-2.3176092656592111</v>
      </c>
      <c r="AI69" s="44">
        <f>(AE69/AA69)*100</f>
        <v>41.568412393748282</v>
      </c>
      <c r="AJ69" s="30">
        <v>2.0640000000000001</v>
      </c>
      <c r="AK69" s="30">
        <v>4.5329999999999995</v>
      </c>
      <c r="AL69" s="30">
        <v>0.027000000000000003</v>
      </c>
      <c r="AM69" s="30">
        <v>1.1339999999999999</v>
      </c>
      <c r="AN69" s="30">
        <v>0.93000000000000005</v>
      </c>
      <c r="AO69" s="30">
        <v>10.364166016400887</v>
      </c>
      <c r="AP69" s="30">
        <f>AN69/AJ69</f>
        <v>0.45058139534883723</v>
      </c>
      <c r="AQ69" s="30">
        <v>-2.3076608680634836</v>
      </c>
      <c r="AR69" s="45">
        <f>(AN69/AJ69)*100</f>
        <v>45.058139534883722</v>
      </c>
      <c r="AS69" s="46">
        <f>AJ69-AA69</f>
        <v>-0.12420000000000009</v>
      </c>
      <c r="AT69" s="46">
        <f>AN69-AE69</f>
        <v>0.020400000000000085</v>
      </c>
      <c r="AU69" s="30">
        <v>1.09392125717259</v>
      </c>
      <c r="AV69" s="30">
        <v>0.25593190694099083</v>
      </c>
      <c r="AW69" s="30">
        <v>0.42741176776752798</v>
      </c>
      <c r="AX69" s="31">
        <v>0.427498172043068</v>
      </c>
      <c r="AY69" s="30">
        <v>2.1284000000000001</v>
      </c>
      <c r="AZ69" s="30">
        <v>1.012</v>
      </c>
      <c r="BA69" s="30">
        <v>9.7219808395096585</v>
      </c>
      <c r="BB69" s="30">
        <v>4.8087377769818334</v>
      </c>
      <c r="BC69" s="39">
        <v>-1.979136102157834</v>
      </c>
      <c r="BD69" s="30">
        <v>2.0292000000000003</v>
      </c>
      <c r="BE69" s="30">
        <v>0.93360000000000021</v>
      </c>
      <c r="BF69" s="30">
        <v>19.236888053641461</v>
      </c>
      <c r="BG69" s="30">
        <v>9.7277446557475145</v>
      </c>
      <c r="BH69" s="39">
        <v>-2.2092098730172802</v>
      </c>
      <c r="BI69" s="30">
        <v>2.73</v>
      </c>
      <c r="BJ69" s="30">
        <v>1.2816000000000001</v>
      </c>
      <c r="BK69" s="30">
        <v>27.368908761302635</v>
      </c>
      <c r="BL69" s="30">
        <v>10.092146369002879</v>
      </c>
      <c r="BM69" s="39">
        <v>-1.9968983195343561</v>
      </c>
      <c r="BN69" s="30">
        <v>2.6184000000000003</v>
      </c>
      <c r="BO69" s="30">
        <v>1.1376000000000002</v>
      </c>
      <c r="BP69" s="30">
        <v>39.027008261532956</v>
      </c>
      <c r="BQ69" s="30">
        <v>14.956568086550769</v>
      </c>
      <c r="BR69" s="39">
        <v>-2.1452223863677222</v>
      </c>
      <c r="BS69" s="30">
        <v>3.0743999999999998</v>
      </c>
      <c r="BT69" s="30">
        <v>1.3728000000000002</v>
      </c>
      <c r="BU69" s="30">
        <v>47.881576013453866</v>
      </c>
      <c r="BV69" s="30">
        <v>15.690049759535205</v>
      </c>
      <c r="BW69" s="39">
        <v>-2.1361697168127485</v>
      </c>
      <c r="BX69" s="49">
        <v>0.080500226621197143</v>
      </c>
      <c r="BY69" s="49">
        <v>0.60404447098808622</v>
      </c>
      <c r="BZ69" s="49">
        <v>0.2868390579197837</v>
      </c>
      <c r="CA69" s="30">
        <v>0.88800000000000012</v>
      </c>
      <c r="CB69" s="30">
        <v>0.65100000000000013</v>
      </c>
      <c r="CC69" s="30">
        <v>0.23700000000000002</v>
      </c>
      <c r="CD69" s="30">
        <v>8.71893328649975</v>
      </c>
      <c r="CE69" s="30">
        <v>13.572522985137251</v>
      </c>
      <c r="CF69" s="30">
        <v>0.043500000000000004</v>
      </c>
      <c r="CG69" s="30">
        <v>3.1197996772369589</v>
      </c>
      <c r="CH69" s="30">
        <v>0.26700000000000002</v>
      </c>
      <c r="CI69" s="30">
        <v>0.099000000000000019</v>
      </c>
      <c r="CJ69" s="30">
        <v>0.38400000000000006</v>
      </c>
      <c r="CK69" s="30">
        <v>41.481038090785638</v>
      </c>
      <c r="CL69" s="30">
        <v>15.12282664351388</v>
      </c>
      <c r="CM69" s="30">
        <v>58.518961909214362</v>
      </c>
      <c r="CN69" s="30">
        <v>-1.4519141529576076</v>
      </c>
      <c r="CO69" s="30">
        <v>-1.5098924132346532</v>
      </c>
      <c r="CP69" s="30">
        <v>0.057011293763434855</v>
      </c>
      <c r="CQ69" s="31">
        <v>0.25</v>
      </c>
      <c r="CR69" s="30">
        <v>0.96625000000000016</v>
      </c>
      <c r="CS69" s="30">
        <v>0.73350000000000004</v>
      </c>
      <c r="CT69" s="30">
        <v>0.23274999999999996</v>
      </c>
      <c r="CU69" s="30">
        <v>17.05143389580314</v>
      </c>
      <c r="CV69" s="30">
        <v>23.624750689176185</v>
      </c>
      <c r="CW69" s="30">
        <v>0.044749999999999998</v>
      </c>
      <c r="CX69" s="30">
        <v>4.0893866118173303</v>
      </c>
      <c r="CY69" s="30">
        <v>0.30600000000000005</v>
      </c>
      <c r="CZ69" s="30">
        <v>0.070500000000000007</v>
      </c>
      <c r="DA69" s="30">
        <v>0.42750000000000005</v>
      </c>
      <c r="DB69" s="30">
        <v>41.976952374751782</v>
      </c>
      <c r="DC69" s="30">
        <v>9.9093099029620397</v>
      </c>
      <c r="DD69" s="30">
        <v>58.023047625248218</v>
      </c>
      <c r="DE69" s="30">
        <v>-1.4996599416755116</v>
      </c>
      <c r="DF69" s="30">
        <v>-1.5632217729388613</v>
      </c>
      <c r="DG69" s="30">
        <v>0.06836417961105376</v>
      </c>
      <c r="DH69" s="30">
        <v>0</v>
      </c>
      <c r="DI69" s="30">
        <v>0.84050000000000014</v>
      </c>
      <c r="DJ69" s="30">
        <v>0.67949999999999999</v>
      </c>
      <c r="DK69" s="30">
        <v>0.16100000000000003</v>
      </c>
      <c r="DL69" s="30">
        <v>8.9501437567882007</v>
      </c>
      <c r="DM69" s="30">
        <v>13.420246079864032</v>
      </c>
      <c r="DN69" s="30">
        <v>0.050500000000000003</v>
      </c>
      <c r="DO69" s="30">
        <v>5.1518582135791036</v>
      </c>
      <c r="DP69" s="30">
        <v>0.22650000000000006</v>
      </c>
      <c r="DQ69" s="30">
        <v>0.084000000000000005</v>
      </c>
      <c r="DR69" s="30">
        <v>0.45299999999999996</v>
      </c>
      <c r="DS69" s="30">
        <v>33.304896953535419</v>
      </c>
      <c r="DT69" s="30">
        <v>12.298839956509976</v>
      </c>
      <c r="DU69" s="30">
        <v>66.695103046464581</v>
      </c>
      <c r="DV69" s="30">
        <v>-1.4198169441829656</v>
      </c>
      <c r="DW69" s="30">
        <v>-1.4589584515567109</v>
      </c>
      <c r="DX69" s="30">
        <v>0.14875882564231596</v>
      </c>
      <c r="DY69" s="30">
        <v>0</v>
      </c>
      <c r="DZ69" s="30">
        <v>1.2065000000000001</v>
      </c>
      <c r="EA69" s="30">
        <v>0.97650000000000003</v>
      </c>
      <c r="EB69" s="30">
        <v>0.23000000000000004</v>
      </c>
      <c r="EC69" s="30">
        <v>17.137605352205494</v>
      </c>
      <c r="ED69" s="30">
        <v>17.757348964000968</v>
      </c>
      <c r="EE69" s="30">
        <v>0.042999999999999997</v>
      </c>
      <c r="EF69" s="30">
        <v>0.375</v>
      </c>
      <c r="EG69" s="30">
        <v>0.12150000000000001</v>
      </c>
      <c r="EH69" s="30">
        <v>0.60150000000000015</v>
      </c>
      <c r="EI69" s="30">
        <v>37.758765638719858</v>
      </c>
      <c r="EJ69" s="30">
        <v>11.596638355009587</v>
      </c>
      <c r="EK69" s="30">
        <v>62.241234361280149</v>
      </c>
      <c r="EL69" s="30">
        <v>-1.4504614540788932</v>
      </c>
      <c r="EM69" s="30">
        <v>-1.5868988975948324</v>
      </c>
      <c r="EN69" s="30">
        <v>0.20169391846975165</v>
      </c>
      <c r="EO69" s="30">
        <v>0.25</v>
      </c>
    </row>
    <row r="70" ht="14.25">
      <c r="A70" s="52" t="s">
        <v>138</v>
      </c>
      <c r="B70" s="52">
        <v>1</v>
      </c>
      <c r="C70" s="61">
        <v>10</v>
      </c>
      <c r="D70" s="30">
        <v>1.0580000000000001</v>
      </c>
      <c r="E70" s="30">
        <v>1.8109999999999999</v>
      </c>
      <c r="F70" s="30">
        <v>2.8689999999999998</v>
      </c>
      <c r="G70" s="30">
        <v>0</v>
      </c>
      <c r="H70" s="30">
        <v>10.714134628219263</v>
      </c>
      <c r="I70" s="30">
        <v>17.640232347465282</v>
      </c>
      <c r="J70" s="30">
        <v>0.53200000000000003</v>
      </c>
      <c r="K70" s="30">
        <v>50.392019891638647</v>
      </c>
      <c r="L70" s="30">
        <f>J70/F70</f>
        <v>0.18543046357615897</v>
      </c>
      <c r="M70" s="30">
        <v>-1.6754560170321919</v>
      </c>
      <c r="N70" s="31">
        <v>0.21787781853386365</v>
      </c>
      <c r="O70" s="30">
        <v>0.95199999999999996</v>
      </c>
      <c r="P70" s="30">
        <v>1.0110000000000001</v>
      </c>
      <c r="Q70" s="30">
        <v>1.9629999999999999</v>
      </c>
      <c r="R70" s="30">
        <v>0</v>
      </c>
      <c r="S70" s="30">
        <v>10.389874974361637</v>
      </c>
      <c r="T70" s="30">
        <v>16.324718190166088</v>
      </c>
      <c r="U70" s="30">
        <v>0.52900000000000003</v>
      </c>
      <c r="V70" s="30">
        <v>54.294595066506666</v>
      </c>
      <c r="W70" s="30">
        <f>U70/Q70</f>
        <v>0.26948548140601125</v>
      </c>
      <c r="X70" s="30">
        <v>-1.570926114848455</v>
      </c>
      <c r="Y70" s="31">
        <v>0.14132309949719882</v>
      </c>
      <c r="Z70" s="32">
        <f>F70-Q70</f>
        <v>0.90599999999999992</v>
      </c>
      <c r="AA70" s="30">
        <v>6.5750000000000002</v>
      </c>
      <c r="AB70" s="30">
        <v>13.571</v>
      </c>
      <c r="AC70" s="30">
        <v>0.07400000000000001</v>
      </c>
      <c r="AD70" s="30">
        <v>3.5879999999999996</v>
      </c>
      <c r="AE70" s="30">
        <v>2.9870000000000001</v>
      </c>
      <c r="AF70" s="30">
        <v>11.57667444161674</v>
      </c>
      <c r="AG70" s="30">
        <f>AF70/AA70</f>
        <v>1.7607109416907589</v>
      </c>
      <c r="AH70" s="30">
        <v>-2.6003778033175102</v>
      </c>
      <c r="AI70" s="44">
        <f>(AE70/AA70)*100</f>
        <v>45.429657794676807</v>
      </c>
      <c r="AJ70" s="30">
        <v>5.2515000000000001</v>
      </c>
      <c r="AK70" s="30">
        <v>10.5585</v>
      </c>
      <c r="AL70" s="30">
        <v>1.1640000000000001</v>
      </c>
      <c r="AM70" s="30">
        <v>3.2475000000000005</v>
      </c>
      <c r="AN70" s="30">
        <v>2.0040000000000004</v>
      </c>
      <c r="AO70" s="30">
        <v>10.212791018622564</v>
      </c>
      <c r="AP70" s="30">
        <f>AN70/AJ70</f>
        <v>0.38160525564124542</v>
      </c>
      <c r="AQ70" s="30">
        <v>-2.5875343175701677</v>
      </c>
      <c r="AR70" s="45">
        <f>(AN70/AJ70)*100</f>
        <v>38.160525564124541</v>
      </c>
      <c r="AS70" s="46">
        <f>AJ70-AA70</f>
        <v>-1.3235000000000001</v>
      </c>
      <c r="AT70" s="46">
        <f>AN70-AE70</f>
        <v>-0.98299999999999965</v>
      </c>
      <c r="AU70" s="30">
        <v>4.1391084981894464</v>
      </c>
      <c r="AV70" s="30">
        <v>0.28314633269686962</v>
      </c>
      <c r="AW70" s="30">
        <v>0.55378003318348201</v>
      </c>
      <c r="AX70" s="31">
        <v>0.55412456238225782</v>
      </c>
      <c r="AY70" s="30">
        <v>8.5080000000000009</v>
      </c>
      <c r="AZ70" s="30">
        <v>3.8175000000000003</v>
      </c>
      <c r="BA70" s="30">
        <v>10.020397359072865</v>
      </c>
      <c r="BB70" s="30">
        <v>1.1807509523829134</v>
      </c>
      <c r="BC70" s="39">
        <v>-2.7189322439026533</v>
      </c>
      <c r="BD70" s="30">
        <v>9.7160000000000011</v>
      </c>
      <c r="BE70" s="30">
        <v>4.3280000000000003</v>
      </c>
      <c r="BF70" s="30">
        <v>20.222893318103036</v>
      </c>
      <c r="BG70" s="30">
        <v>2.0990499273842365</v>
      </c>
      <c r="BH70" s="39">
        <v>-3.2086212832888115</v>
      </c>
      <c r="BI70" s="30">
        <v>9.6044999999999998</v>
      </c>
      <c r="BJ70" s="30">
        <v>4.4489999999999998</v>
      </c>
      <c r="BK70" s="30">
        <v>30.042558837615111</v>
      </c>
      <c r="BL70" s="30">
        <v>3.1590319341563058</v>
      </c>
      <c r="BM70" s="39">
        <v>-2.6941858120791875</v>
      </c>
      <c r="BN70" s="30">
        <v>11.401500000000002</v>
      </c>
      <c r="BO70" s="30">
        <v>5.4030000000000005</v>
      </c>
      <c r="BP70" s="30">
        <v>40.121573319545739</v>
      </c>
      <c r="BQ70" s="30">
        <v>3.5306123612762041</v>
      </c>
      <c r="BR70" s="39">
        <v>-2.6004072237252407</v>
      </c>
      <c r="BS70" s="30">
        <v>13.379999999999999</v>
      </c>
      <c r="BT70" s="30">
        <v>6.0179999999999989</v>
      </c>
      <c r="BU70" s="30">
        <v>49.919979110912806</v>
      </c>
      <c r="BV70" s="30">
        <v>3.8191480818780676</v>
      </c>
      <c r="BW70" s="39">
        <v>-2.992988239512941</v>
      </c>
      <c r="BX70" s="49">
        <v>0.4233750350449737</v>
      </c>
      <c r="BY70" s="49">
        <v>-0.37283233489467005</v>
      </c>
      <c r="BZ70" s="49">
        <v>0.51993346728161527</v>
      </c>
      <c r="CA70" s="30">
        <v>0.9813333333333335</v>
      </c>
      <c r="CB70" s="30">
        <v>0.98799999999999999</v>
      </c>
      <c r="CC70" s="30">
        <v>-0.0066666666666666636</v>
      </c>
      <c r="CD70" s="30">
        <v>8.118972771561074</v>
      </c>
      <c r="CE70" s="30">
        <v>8.2325209627309395</v>
      </c>
      <c r="CF70" s="30">
        <v>0.072750000000000009</v>
      </c>
      <c r="CG70" s="30">
        <v>3.014913197910404</v>
      </c>
      <c r="CH70" s="30">
        <v>0.51000000000000001</v>
      </c>
      <c r="CI70" s="30">
        <v>0.17200000000000001</v>
      </c>
      <c r="CJ70" s="30">
        <v>0.47800000000000004</v>
      </c>
      <c r="CK70" s="30">
        <v>51.578987963788769</v>
      </c>
      <c r="CL70" s="30">
        <v>17.021327899702484</v>
      </c>
      <c r="CM70" s="30">
        <v>48.421012036211231</v>
      </c>
      <c r="CN70" s="30">
        <v>-1.5292111356119416</v>
      </c>
      <c r="CO70" s="30">
        <v>-1.6843115511292686</v>
      </c>
      <c r="CP70" s="30">
        <v>0.092128303861892635</v>
      </c>
      <c r="CQ70" s="31">
        <v>0.5</v>
      </c>
      <c r="CR70" s="30">
        <v>1.3700000000000001</v>
      </c>
      <c r="CS70" s="30">
        <v>1.3659999999999999</v>
      </c>
      <c r="CT70" s="30">
        <v>0.0040000000000000036</v>
      </c>
      <c r="CU70" s="30">
        <v>16.404323023235687</v>
      </c>
      <c r="CV70" s="30">
        <v>12.368481843387832</v>
      </c>
      <c r="CW70" s="30">
        <v>0.076999999999999985</v>
      </c>
      <c r="CX70" s="30">
        <v>4.0286394806594155</v>
      </c>
      <c r="CY70" s="30">
        <v>0.86799999999999999</v>
      </c>
      <c r="CZ70" s="30">
        <v>0.434</v>
      </c>
      <c r="DA70" s="30">
        <v>0.49800000000000005</v>
      </c>
      <c r="DB70" s="30">
        <v>63.214234730439294</v>
      </c>
      <c r="DC70" s="30">
        <v>30.600064003297543</v>
      </c>
      <c r="DD70" s="30">
        <v>36.785765269560713</v>
      </c>
      <c r="DE70" s="30">
        <v>-1.5993975516776395</v>
      </c>
      <c r="DF70" s="30">
        <v>-1.6721528643744292</v>
      </c>
      <c r="DG70" s="30">
        <v>0.078118425805768027</v>
      </c>
      <c r="DH70" s="30">
        <v>0</v>
      </c>
      <c r="DI70" s="30">
        <v>1.5042500000000001</v>
      </c>
      <c r="DJ70" s="30">
        <v>1.3305000000000002</v>
      </c>
      <c r="DK70" s="30">
        <v>0.17375000000000002</v>
      </c>
      <c r="DL70" s="30">
        <v>9.027135796580378</v>
      </c>
      <c r="DM70" s="30">
        <v>6.8038303425001683</v>
      </c>
      <c r="DN70" s="30">
        <v>0.055750000000000008</v>
      </c>
      <c r="DO70" s="30">
        <v>5.0694757674903421</v>
      </c>
      <c r="DP70" s="30">
        <v>0.54449999999999998</v>
      </c>
      <c r="DQ70" s="30">
        <v>0.2505</v>
      </c>
      <c r="DR70" s="30">
        <v>0.78600000000000003</v>
      </c>
      <c r="DS70" s="30">
        <v>41.325246641833814</v>
      </c>
      <c r="DT70" s="30">
        <v>18.715010985456303</v>
      </c>
      <c r="DU70" s="30">
        <v>58.674753358166186</v>
      </c>
      <c r="DV70" s="30">
        <v>-1.4929261503963485</v>
      </c>
      <c r="DW70" s="30">
        <v>-1.6271503043141711</v>
      </c>
      <c r="DX70" s="30">
        <v>0.093421170664771583</v>
      </c>
      <c r="DY70" s="30">
        <v>2</v>
      </c>
      <c r="DZ70" s="30">
        <v>2.4889999999999999</v>
      </c>
      <c r="EA70" s="30">
        <v>2.2170000000000001</v>
      </c>
      <c r="EB70" s="30">
        <v>0.27200000000000002</v>
      </c>
      <c r="EC70" s="30">
        <v>16.76910956543918</v>
      </c>
      <c r="ED70" s="30">
        <v>8.3450769278970185</v>
      </c>
      <c r="EE70" s="30">
        <v>0.034250000000000003</v>
      </c>
      <c r="EF70" s="30">
        <v>1.05</v>
      </c>
      <c r="EG70" s="30">
        <v>1.167</v>
      </c>
      <c r="EH70" s="30">
        <v>1.167</v>
      </c>
      <c r="EI70" s="30">
        <v>44.493238871635612</v>
      </c>
      <c r="EJ70" s="30">
        <v>45.776721014492757</v>
      </c>
      <c r="EK70" s="30">
        <v>55.506761128364388</v>
      </c>
      <c r="EL70" s="30">
        <v>-1.6849873527474335</v>
      </c>
      <c r="EM70" s="30">
        <v>-1.7389022708959228</v>
      </c>
      <c r="EN70" s="30">
        <v>0.14566013617615731</v>
      </c>
      <c r="EO70" s="30">
        <v>3</v>
      </c>
    </row>
    <row r="71" ht="14.25">
      <c r="A71" s="52" t="s">
        <v>138</v>
      </c>
      <c r="B71" s="52">
        <v>1</v>
      </c>
      <c r="C71" s="61">
        <v>10</v>
      </c>
      <c r="D71" s="30">
        <v>1.0762500000000002</v>
      </c>
      <c r="E71" s="30">
        <v>1.9649999999999999</v>
      </c>
      <c r="F71" s="30">
        <v>3.1545000000000005</v>
      </c>
      <c r="G71" s="30">
        <v>0.11325000000000002</v>
      </c>
      <c r="H71" s="30">
        <v>10.50810120303697</v>
      </c>
      <c r="I71" s="30">
        <v>17.597067282026515</v>
      </c>
      <c r="J71" s="30">
        <v>0.58425000000000005</v>
      </c>
      <c r="K71" s="30">
        <v>54.187287310746662</v>
      </c>
      <c r="L71" s="30">
        <f>J71/F71</f>
        <v>0.18521160247265808</v>
      </c>
      <c r="M71" s="30">
        <v>-1.6006951877507483</v>
      </c>
      <c r="N71" s="31">
        <v>0.10707404963981168</v>
      </c>
      <c r="O71" s="30">
        <v>1.0812000000000002</v>
      </c>
      <c r="P71" s="30">
        <v>1.5246</v>
      </c>
      <c r="Q71" s="30">
        <v>2.6940000000000004</v>
      </c>
      <c r="R71" s="30">
        <v>0.088200000000000014</v>
      </c>
      <c r="S71" s="30">
        <v>10.550016802424292</v>
      </c>
      <c r="T71" s="30">
        <v>17.777362696714011</v>
      </c>
      <c r="U71" s="30">
        <v>0.53700000000000003</v>
      </c>
      <c r="V71" s="30">
        <v>49.755788338046194</v>
      </c>
      <c r="W71" s="30">
        <f>U71/Q71</f>
        <v>0.19933184855233851</v>
      </c>
      <c r="X71" s="30">
        <v>-1.5781822620597326</v>
      </c>
      <c r="Y71" s="31">
        <v>0.087698676362675004</v>
      </c>
      <c r="Z71" s="32">
        <f>F71-Q71</f>
        <v>0.46050000000000013</v>
      </c>
      <c r="AA71" s="30">
        <v>5.000571428571428</v>
      </c>
      <c r="AB71" s="30">
        <v>10.08</v>
      </c>
      <c r="AC71" s="30">
        <v>0.027428571428571431</v>
      </c>
      <c r="AD71" s="30">
        <v>2.648571428571429</v>
      </c>
      <c r="AE71" s="30">
        <v>2.3519999999999999</v>
      </c>
      <c r="AF71" s="30">
        <v>11.592127752020806</v>
      </c>
      <c r="AG71" s="30">
        <f>AF71/AA71</f>
        <v>2.3181606177621314</v>
      </c>
      <c r="AH71" s="30">
        <v>-2.8009240996540763</v>
      </c>
      <c r="AI71" s="44">
        <f>(AE71/AA71)*100</f>
        <v>47.034624614329793</v>
      </c>
      <c r="AJ71" s="30">
        <v>5.202</v>
      </c>
      <c r="AK71" s="30">
        <v>8.8185000000000002</v>
      </c>
      <c r="AL71" s="30">
        <v>0.042000000000000003</v>
      </c>
      <c r="AM71" s="30">
        <v>2.5815000000000001</v>
      </c>
      <c r="AN71" s="30">
        <v>2.6205000000000003</v>
      </c>
      <c r="AO71" s="30">
        <v>11.661140280523547</v>
      </c>
      <c r="AP71" s="30">
        <f>AN71/AJ71</f>
        <v>0.50374855824682818</v>
      </c>
      <c r="AQ71" s="30">
        <v>-2.9020358543331159</v>
      </c>
      <c r="AR71" s="45">
        <f>(AN71/AJ71)*100</f>
        <v>50.374855824682818</v>
      </c>
      <c r="AS71" s="46">
        <f>AJ71-AA71</f>
        <v>0.20142857142857196</v>
      </c>
      <c r="AT71" s="46">
        <f>AN71-AE71</f>
        <v>0.26850000000000041</v>
      </c>
      <c r="AU71" s="30">
        <v>1.6856606801738656</v>
      </c>
      <c r="AV71" s="30">
        <v>0.54594189105618829</v>
      </c>
      <c r="AW71" s="30">
        <v>0.78841655882776773</v>
      </c>
      <c r="AX71" s="31">
        <v>0.78845607500163528</v>
      </c>
      <c r="AY71" s="30">
        <v>5.6559999999999997</v>
      </c>
      <c r="AZ71" s="30">
        <v>2.7580000000000005</v>
      </c>
      <c r="BA71" s="30">
        <v>10.094621790851265</v>
      </c>
      <c r="BB71" s="30">
        <v>1.806671739026358</v>
      </c>
      <c r="BC71" s="39">
        <v>-2.5344108669031953</v>
      </c>
      <c r="BD71" s="30">
        <v>8.9550000000000018</v>
      </c>
      <c r="BE71" s="30">
        <v>4.3620000000000001</v>
      </c>
      <c r="BF71" s="30">
        <v>19.639916190160555</v>
      </c>
      <c r="BG71" s="30">
        <v>2.2360003750386914</v>
      </c>
      <c r="BH71" s="39">
        <v>-2.7221254092440148</v>
      </c>
      <c r="BI71" s="30">
        <v>10.404</v>
      </c>
      <c r="BJ71" s="30">
        <v>5.3100000000000005</v>
      </c>
      <c r="BK71" s="30">
        <v>29.068315071366271</v>
      </c>
      <c r="BL71" s="30">
        <v>2.8132507273690317</v>
      </c>
      <c r="BM71" s="39">
        <v>-2.9544298603711181</v>
      </c>
      <c r="BN71" s="30">
        <v>12.672000000000001</v>
      </c>
      <c r="BO71" s="30">
        <v>6.0120000000000005</v>
      </c>
      <c r="BP71" s="30">
        <v>39.098183330675809</v>
      </c>
      <c r="BQ71" s="30">
        <v>3.0961451160512867</v>
      </c>
      <c r="BR71" s="39">
        <v>-2.835178667077443</v>
      </c>
      <c r="BS71" s="30">
        <v>13.914000000000001</v>
      </c>
      <c r="BT71" s="30">
        <v>6.7720000000000011</v>
      </c>
      <c r="BU71" s="30">
        <v>48.424450775678771</v>
      </c>
      <c r="BV71" s="30">
        <v>3.6160989766040523</v>
      </c>
      <c r="BW71" s="39">
        <v>-2.6520547992727388</v>
      </c>
      <c r="BX71" s="49">
        <v>0.19083267984818961</v>
      </c>
      <c r="BY71" s="49">
        <v>1.1664905100343457</v>
      </c>
      <c r="BZ71" s="49">
        <v>0.13285069283814577</v>
      </c>
      <c r="CA71" s="30">
        <v>1.3983333333333334</v>
      </c>
      <c r="CB71" s="30">
        <v>1.24</v>
      </c>
      <c r="CC71" s="30">
        <v>0.15833333333333335</v>
      </c>
      <c r="CD71" s="30">
        <v>8.3859553688880073</v>
      </c>
      <c r="CE71" s="30">
        <v>6.7888550462813617</v>
      </c>
      <c r="CF71" s="30">
        <v>0.054749999999999986</v>
      </c>
      <c r="CG71" s="30">
        <v>3.0629461668088873</v>
      </c>
      <c r="CH71" s="30">
        <v>0.55999999999999994</v>
      </c>
      <c r="CI71" s="30">
        <v>0.25</v>
      </c>
      <c r="CJ71" s="30">
        <v>0.68000000000000005</v>
      </c>
      <c r="CK71" s="30">
        <v>44.725259213633088</v>
      </c>
      <c r="CL71" s="30">
        <v>19.895090537221733</v>
      </c>
      <c r="CM71" s="30">
        <v>55.274740786366898</v>
      </c>
      <c r="CN71" s="30">
        <v>-1.5580225848980935</v>
      </c>
      <c r="CO71" s="30">
        <v>-1.6526505872962112</v>
      </c>
      <c r="CP71" s="30">
        <v>0.063262868410358497</v>
      </c>
      <c r="CQ71" s="31">
        <v>1.5</v>
      </c>
      <c r="CR71" s="30">
        <v>2.5267500000000003</v>
      </c>
      <c r="CS71" s="30">
        <v>2.2469999999999999</v>
      </c>
      <c r="CT71" s="30">
        <v>0.27975</v>
      </c>
      <c r="CU71" s="30">
        <v>17.08745224788705</v>
      </c>
      <c r="CV71" s="30">
        <v>7.8908612784840271</v>
      </c>
      <c r="CW71" s="30">
        <v>0.039750000000000001</v>
      </c>
      <c r="CX71" s="30">
        <v>4.0877697191851574</v>
      </c>
      <c r="CY71" s="30">
        <v>1.2795000000000001</v>
      </c>
      <c r="CZ71" s="30">
        <v>0.25800000000000001</v>
      </c>
      <c r="DA71" s="30">
        <v>0.96750000000000003</v>
      </c>
      <c r="DB71" s="30">
        <v>57.047963906407539</v>
      </c>
      <c r="DC71" s="30">
        <v>11.841754669347367</v>
      </c>
      <c r="DD71" s="30">
        <v>42.952036093592447</v>
      </c>
      <c r="DE71" s="30">
        <v>-1.8776152308364069</v>
      </c>
      <c r="DF71" s="30">
        <v>-1.8915768309353687</v>
      </c>
      <c r="DG71" s="30">
        <v>0.14487453676292891</v>
      </c>
      <c r="DH71" s="30">
        <v>2.6666666666666665</v>
      </c>
      <c r="DI71" s="30">
        <v>1.8400000000000003</v>
      </c>
      <c r="DJ71" s="30">
        <v>1.6725000000000001</v>
      </c>
      <c r="DK71" s="30">
        <v>0.16750000000000001</v>
      </c>
      <c r="DL71" s="30">
        <v>8.5558277428821015</v>
      </c>
      <c r="DM71" s="30">
        <v>5.1457552120437011</v>
      </c>
      <c r="DN71" s="30">
        <v>0.027499999999999997</v>
      </c>
      <c r="DO71" s="30">
        <v>5.0846667886539851</v>
      </c>
      <c r="DP71" s="30">
        <v>0.54300000000000004</v>
      </c>
      <c r="DQ71" s="30">
        <v>0.23550000000000004</v>
      </c>
      <c r="DR71" s="30">
        <v>1.1294999999999997</v>
      </c>
      <c r="DS71" s="30">
        <v>32.023781665450052</v>
      </c>
      <c r="DT71" s="30">
        <v>13.508884096880957</v>
      </c>
      <c r="DU71" s="30">
        <v>67.976218334549941</v>
      </c>
      <c r="DV71" s="30">
        <v>-1.6086948635373681</v>
      </c>
      <c r="DW71" s="30">
        <v>-1.6645033898386168</v>
      </c>
      <c r="DX71" s="30">
        <v>0.046076539267141024</v>
      </c>
      <c r="DY71" s="30">
        <v>2.5</v>
      </c>
      <c r="DZ71" s="30">
        <v>2.3213333333333335</v>
      </c>
      <c r="EA71" s="30">
        <v>2.1860000000000004</v>
      </c>
      <c r="EB71" s="30">
        <v>0.13533333333333333</v>
      </c>
      <c r="EC71" s="30">
        <v>16.864298315869757</v>
      </c>
      <c r="ED71" s="30">
        <v>7.7961667383028397</v>
      </c>
      <c r="EE71" s="30">
        <v>0.047500000000000001</v>
      </c>
      <c r="EF71" s="30">
        <v>0.55600000000000005</v>
      </c>
      <c r="EG71" s="30">
        <v>0.16400000000000001</v>
      </c>
      <c r="EH71" s="30">
        <v>1.6300000000000001</v>
      </c>
      <c r="EI71" s="30">
        <v>24.785656044372526</v>
      </c>
      <c r="EJ71" s="30">
        <v>7.1769197162434617</v>
      </c>
      <c r="EK71" s="30">
        <v>75.214343955627456</v>
      </c>
      <c r="EL71" s="30">
        <v>-1.653861628841059</v>
      </c>
      <c r="EM71" s="30">
        <v>-1.6486135390775141</v>
      </c>
      <c r="EN71" s="30">
        <v>0.16113753436964273</v>
      </c>
      <c r="EO71" s="30">
        <v>3.5</v>
      </c>
    </row>
    <row r="72" ht="14.25">
      <c r="A72" s="52" t="s">
        <v>138</v>
      </c>
      <c r="B72" s="52">
        <v>1</v>
      </c>
      <c r="C72" s="61">
        <v>10</v>
      </c>
      <c r="D72" s="30">
        <v>0.65549999999999997</v>
      </c>
      <c r="E72" s="30">
        <v>1.1295000000000002</v>
      </c>
      <c r="F72" s="30">
        <v>1.8592499999999998</v>
      </c>
      <c r="G72" s="30">
        <v>0.07425000000000001</v>
      </c>
      <c r="H72" s="30">
        <v>10.450575140302909</v>
      </c>
      <c r="I72" s="30">
        <v>17.572085753160422</v>
      </c>
      <c r="J72" s="30">
        <v>0.33075000000000004</v>
      </c>
      <c r="K72" s="30">
        <v>48.483975128683383</v>
      </c>
      <c r="L72" s="30">
        <f>J72/F72</f>
        <v>0.17789431222267046</v>
      </c>
      <c r="M72" s="30">
        <v>-1.5006630673907053</v>
      </c>
      <c r="N72" s="31">
        <v>0.12427604961963509</v>
      </c>
      <c r="O72" s="30">
        <v>0.57771428571428574</v>
      </c>
      <c r="P72" s="30">
        <v>0.8382857142857143</v>
      </c>
      <c r="Q72" s="30">
        <v>1.4297142857142855</v>
      </c>
      <c r="R72" s="30">
        <v>0.013714285714285715</v>
      </c>
      <c r="S72" s="30">
        <v>10.489677434548099</v>
      </c>
      <c r="T72" s="30">
        <v>17.33949118225113</v>
      </c>
      <c r="U72" s="30">
        <v>0.28200000000000003</v>
      </c>
      <c r="V72" s="30">
        <v>49.181759983802316</v>
      </c>
      <c r="W72" s="30">
        <f>U72/Q72</f>
        <v>0.19724220623501204</v>
      </c>
      <c r="X72" s="30">
        <v>-1.4998924505558466</v>
      </c>
      <c r="Y72" s="31">
        <v>0.11620812330969356</v>
      </c>
      <c r="Z72" s="32">
        <f>F72-Q72</f>
        <v>0.42953571428571435</v>
      </c>
      <c r="AA72" s="30">
        <v>2.3610000000000002</v>
      </c>
      <c r="AB72" s="30">
        <v>4.9874999999999998</v>
      </c>
      <c r="AC72" s="30">
        <v>0.018000000000000002</v>
      </c>
      <c r="AD72" s="30">
        <v>1.278</v>
      </c>
      <c r="AE72" s="30">
        <v>1.083</v>
      </c>
      <c r="AF72" s="30">
        <v>11.694077375786296</v>
      </c>
      <c r="AG72" s="30">
        <f>AF72/AA72</f>
        <v>4.9530187953351525</v>
      </c>
      <c r="AH72" s="30">
        <v>-2.5676694149600889</v>
      </c>
      <c r="AI72" s="44">
        <f>(AE72/AA72)*100</f>
        <v>45.870393900889454</v>
      </c>
      <c r="AJ72" s="30">
        <v>2.5491428571428574</v>
      </c>
      <c r="AK72" s="30">
        <v>4.5265714285714287</v>
      </c>
      <c r="AL72" s="30">
        <v>0.019714285714285715</v>
      </c>
      <c r="AM72" s="30">
        <v>1.3122857142857143</v>
      </c>
      <c r="AN72" s="30">
        <v>1.2368571428571429</v>
      </c>
      <c r="AO72" s="30">
        <v>11.542319182725171</v>
      </c>
      <c r="AP72" s="30">
        <f>AN72/AJ72</f>
        <v>0.48520511096166774</v>
      </c>
      <c r="AQ72" s="30">
        <v>-2.4399201048915544</v>
      </c>
      <c r="AR72" s="45">
        <f>(AN72/AJ72)*100</f>
        <v>48.520511096166771</v>
      </c>
      <c r="AS72" s="46">
        <f>AJ72-AA72</f>
        <v>0.18814285714285717</v>
      </c>
      <c r="AT72" s="46">
        <f>AN72-AE72</f>
        <v>0.15385714285714291</v>
      </c>
      <c r="AU72" s="30">
        <v>10.115951878108353</v>
      </c>
      <c r="AV72" s="30">
        <v>-0.16468696170541305</v>
      </c>
      <c r="AW72" s="30">
        <v>0.14075515869776389</v>
      </c>
      <c r="AX72" s="31">
        <v>0.14076677954569378</v>
      </c>
      <c r="AY72" s="30">
        <v>6.9800000000000004</v>
      </c>
      <c r="AZ72" s="30">
        <v>3.2620000000000005</v>
      </c>
      <c r="BA72" s="30">
        <v>9.7448145297031186</v>
      </c>
      <c r="BB72" s="30">
        <v>1.3973056606473888</v>
      </c>
      <c r="BC72" s="39">
        <v>-2.7504378289371707</v>
      </c>
      <c r="BD72" s="30">
        <v>6.6720000000000006</v>
      </c>
      <c r="BE72" s="30">
        <v>3.036</v>
      </c>
      <c r="BF72" s="30">
        <v>19.366344464763085</v>
      </c>
      <c r="BG72" s="30">
        <v>3.8591361161988438</v>
      </c>
      <c r="BH72" s="39">
        <v>-2.3692695867231484</v>
      </c>
      <c r="BI72" s="30">
        <v>5.3985000000000003</v>
      </c>
      <c r="BJ72" s="30">
        <v>2.6685000000000003</v>
      </c>
      <c r="BK72" s="30">
        <v>29.4689404846585</v>
      </c>
      <c r="BL72" s="30">
        <v>5.5878488621102846</v>
      </c>
      <c r="BM72" s="39">
        <v>-2.2486700187048401</v>
      </c>
      <c r="BN72" s="30">
        <v>5.2710000000000008</v>
      </c>
      <c r="BO72" s="30">
        <v>2.5560000000000005</v>
      </c>
      <c r="BP72" s="30">
        <v>39.08947793989568</v>
      </c>
      <c r="BQ72" s="30">
        <v>7.4475542811586077</v>
      </c>
      <c r="BR72" s="39">
        <v>-2.1465445181841765</v>
      </c>
      <c r="BS72" s="30">
        <v>5.8840000000000003</v>
      </c>
      <c r="BT72" s="30">
        <v>2.4399999999999999</v>
      </c>
      <c r="BU72" s="30">
        <v>48.316547694165841</v>
      </c>
      <c r="BV72" s="30">
        <v>8.4182894511008328</v>
      </c>
      <c r="BW72" s="39">
        <v>-2.1229568220999977</v>
      </c>
      <c r="BX72" s="49">
        <v>0.16016322266041694</v>
      </c>
      <c r="BY72" s="49">
        <v>0.38730007507268938</v>
      </c>
      <c r="BZ72" s="49">
        <v>0.45278212176250554</v>
      </c>
      <c r="CA72" s="30">
        <v>0.86099999999999999</v>
      </c>
      <c r="CB72" s="30">
        <v>0.61350000000000016</v>
      </c>
      <c r="CC72" s="30">
        <v>0.2475</v>
      </c>
      <c r="CD72" s="30">
        <v>9.1471375994897279</v>
      </c>
      <c r="CE72" s="30">
        <v>15.095736203530279</v>
      </c>
      <c r="CF72" s="30">
        <v>0.034500000000000003</v>
      </c>
      <c r="CG72" s="30">
        <v>3.1808678025668167</v>
      </c>
      <c r="CH72" s="30">
        <v>0.36149999999999999</v>
      </c>
      <c r="CI72" s="30">
        <v>0.13500000000000001</v>
      </c>
      <c r="CJ72" s="30">
        <v>0.252</v>
      </c>
      <c r="CK72" s="30">
        <v>59.017477281590821</v>
      </c>
      <c r="CL72" s="30">
        <v>21.426023211072348</v>
      </c>
      <c r="CM72" s="30">
        <v>40.982522718409179</v>
      </c>
      <c r="CN72" s="30">
        <v>-1.5216680590908334</v>
      </c>
      <c r="CO72" s="30">
        <v>-1.5619337314769868</v>
      </c>
      <c r="CP72" s="30">
        <v>0.14611470937870749</v>
      </c>
      <c r="CQ72" s="31">
        <v>0</v>
      </c>
      <c r="CR72" s="30">
        <v>1.1200000000000001</v>
      </c>
      <c r="CS72" s="30">
        <v>0.77999999999999992</v>
      </c>
      <c r="CT72" s="30">
        <v>0.34000000000000002</v>
      </c>
      <c r="CU72" s="30">
        <v>16.921789757772245</v>
      </c>
      <c r="CV72" s="30">
        <v>21.732179121413253</v>
      </c>
      <c r="CW72" s="30">
        <v>0.05425</v>
      </c>
      <c r="CX72" s="30">
        <v>4.0727670311398505</v>
      </c>
      <c r="CY72" s="30">
        <v>0.438</v>
      </c>
      <c r="CZ72" s="30">
        <v>0.18899999999999997</v>
      </c>
      <c r="DA72" s="30">
        <v>0.34199999999999992</v>
      </c>
      <c r="DB72" s="30">
        <v>56.024667931688811</v>
      </c>
      <c r="DC72" s="30">
        <v>24.157969639468693</v>
      </c>
      <c r="DD72" s="30">
        <v>43.975332068311189</v>
      </c>
      <c r="DE72" s="30">
        <v>-1.4536167403633193</v>
      </c>
      <c r="DF72" s="30">
        <v>-1.606126945204809</v>
      </c>
      <c r="DG72" s="30">
        <v>0.24137358696324551</v>
      </c>
      <c r="DH72" s="30">
        <v>0</v>
      </c>
      <c r="DI72" s="30">
        <v>1.2070000000000001</v>
      </c>
      <c r="DJ72" s="30">
        <v>0.88200000000000001</v>
      </c>
      <c r="DK72" s="30">
        <v>0.32500000000000007</v>
      </c>
      <c r="DL72" s="30">
        <v>8.598298399325385</v>
      </c>
      <c r="DM72" s="30">
        <v>10.562764155374529</v>
      </c>
      <c r="DN72" s="30">
        <v>0.051500000000000004</v>
      </c>
      <c r="DO72" s="30">
        <v>5.0976683052273044</v>
      </c>
      <c r="DP72" s="30">
        <v>0.318</v>
      </c>
      <c r="DQ72" s="30">
        <v>0.11850000000000001</v>
      </c>
      <c r="DR72" s="30">
        <v>0.56400000000000006</v>
      </c>
      <c r="DS72" s="30">
        <v>38.408339921132146</v>
      </c>
      <c r="DT72" s="30">
        <v>15.545899254853202</v>
      </c>
      <c r="DU72" s="30">
        <v>61.591660078867847</v>
      </c>
      <c r="DV72" s="30">
        <v>-1.4634867396125399</v>
      </c>
      <c r="DW72" s="30">
        <v>-1.5399425637906965</v>
      </c>
      <c r="DX72" s="30">
        <v>0.064191286928323599</v>
      </c>
      <c r="DY72" s="30">
        <v>1</v>
      </c>
      <c r="DZ72" s="30">
        <v>1.3410000000000002</v>
      </c>
      <c r="EA72" s="30">
        <v>1.042</v>
      </c>
      <c r="EB72" s="30">
        <v>0.29900000000000004</v>
      </c>
      <c r="EC72" s="30">
        <v>17.112824607007912</v>
      </c>
      <c r="ED72" s="30">
        <v>16.994789503301412</v>
      </c>
      <c r="EE72" s="30">
        <v>0.063</v>
      </c>
      <c r="EF72" s="30">
        <v>0.36400000000000005</v>
      </c>
      <c r="EG72" s="30">
        <v>0.156</v>
      </c>
      <c r="EH72" s="30">
        <v>0.67800000000000005</v>
      </c>
      <c r="EI72" s="30">
        <v>35.607615139078888</v>
      </c>
      <c r="EJ72" s="30">
        <v>16.427268581851347</v>
      </c>
      <c r="EK72" s="30">
        <v>64.392384860921112</v>
      </c>
      <c r="EL72" s="30">
        <v>-1.5101564715422764</v>
      </c>
      <c r="EM72" s="30">
        <v>-1.5585661025442492</v>
      </c>
      <c r="EN72" s="30">
        <v>0.24851428369013326</v>
      </c>
      <c r="EO72" s="30">
        <v>1</v>
      </c>
    </row>
    <row r="73" ht="14.25">
      <c r="A73" s="43" t="s">
        <v>139</v>
      </c>
      <c r="B73" s="43">
        <v>1</v>
      </c>
      <c r="C73" s="61">
        <v>10</v>
      </c>
      <c r="D73" s="30">
        <v>0.8957142857142858</v>
      </c>
      <c r="E73" s="30">
        <v>1.2702857142857145</v>
      </c>
      <c r="F73" s="30">
        <v>2.1659999999999999</v>
      </c>
      <c r="G73" s="30">
        <v>0</v>
      </c>
      <c r="H73" s="30">
        <v>10.720696475271115</v>
      </c>
      <c r="I73" s="30">
        <v>17.807404086202233</v>
      </c>
      <c r="J73" s="30">
        <v>0.39685714285714285</v>
      </c>
      <c r="K73" s="30">
        <v>46.753917436220306</v>
      </c>
      <c r="L73" s="30">
        <f>J73/F73</f>
        <v>0.18322121092204194</v>
      </c>
      <c r="M73" s="30">
        <v>-1.5565327630124721</v>
      </c>
      <c r="N73" s="31">
        <v>0.12353660380271433</v>
      </c>
      <c r="O73" s="30">
        <v>0.73971428571428566</v>
      </c>
      <c r="P73" s="30">
        <v>0.93514285714285716</v>
      </c>
      <c r="Q73" s="30">
        <v>1.6748571428571428</v>
      </c>
      <c r="R73" s="30">
        <v>0</v>
      </c>
      <c r="S73" s="30">
        <v>10.590034082279477</v>
      </c>
      <c r="T73" s="30">
        <v>16.914820488392937</v>
      </c>
      <c r="U73" s="30">
        <v>0.45514285714285713</v>
      </c>
      <c r="V73" s="30">
        <v>59.714720421459106</v>
      </c>
      <c r="W73" s="30">
        <f>U73/Q73</f>
        <v>0.27175025588536333</v>
      </c>
      <c r="X73" s="30">
        <v>-1.5694133500813181</v>
      </c>
      <c r="Y73" s="31">
        <v>0.11976749069279928</v>
      </c>
      <c r="Z73" s="32">
        <f>F73-Q73</f>
        <v>0.4911428571428571</v>
      </c>
      <c r="AA73" s="30">
        <v>2.6046666666666667</v>
      </c>
      <c r="AB73" s="30">
        <v>5.7466666666666661</v>
      </c>
      <c r="AC73" s="30">
        <v>0.03266666666666667</v>
      </c>
      <c r="AD73" s="30">
        <v>1.2773333333333334</v>
      </c>
      <c r="AE73" s="30">
        <v>1.3273333333333335</v>
      </c>
      <c r="AF73" s="30">
        <v>11.710177601831068</v>
      </c>
      <c r="AG73" s="30">
        <f>AF73/AA73</f>
        <v>4.495844996863732</v>
      </c>
      <c r="AH73" s="30">
        <v>-2.3943084815285736</v>
      </c>
      <c r="AI73" s="44">
        <f>(AE73/AA73)*100</f>
        <v>50.959815715382653</v>
      </c>
      <c r="AJ73" s="30">
        <v>2.6400000000000001</v>
      </c>
      <c r="AK73" s="30">
        <v>4.7385000000000002</v>
      </c>
      <c r="AL73" s="30">
        <v>0.018000000000000002</v>
      </c>
      <c r="AM73" s="30">
        <v>1.3020000000000003</v>
      </c>
      <c r="AN73" s="30">
        <v>1.3379999999999999</v>
      </c>
      <c r="AO73" s="30">
        <v>11.677856969119496</v>
      </c>
      <c r="AP73" s="30">
        <f>AN73/AJ73</f>
        <v>0.50681818181818172</v>
      </c>
      <c r="AQ73" s="30">
        <v>-2.4281600105059074</v>
      </c>
      <c r="AR73" s="45">
        <f>(AN73/AJ73)*100</f>
        <v>50.681818181818173</v>
      </c>
      <c r="AS73" s="46">
        <f>AJ73-AA73</f>
        <v>0.035333333333333439</v>
      </c>
      <c r="AT73" s="46">
        <f>AN73-AE73</f>
        <v>0.01066666666666638</v>
      </c>
      <c r="AU73" s="30">
        <v>2.0487683947054718</v>
      </c>
      <c r="AV73" s="30">
        <v>0.27775271171284549</v>
      </c>
      <c r="AW73" s="30">
        <v>0.21860195373755453</v>
      </c>
      <c r="AX73" s="31">
        <v>0.21863282398543626</v>
      </c>
      <c r="AY73" s="30">
        <v>3.4760000000000004</v>
      </c>
      <c r="AZ73" s="30">
        <v>1.6779999999999999</v>
      </c>
      <c r="BA73" s="30">
        <v>10.282172967104566</v>
      </c>
      <c r="BB73" s="30">
        <v>2.9966184860500462</v>
      </c>
      <c r="BC73" s="39">
        <v>-2.2446443007173769</v>
      </c>
      <c r="BD73" s="30">
        <v>5.5284000000000004</v>
      </c>
      <c r="BE73" s="30">
        <v>2.8404000000000003</v>
      </c>
      <c r="BF73" s="30">
        <v>20.707267347403565</v>
      </c>
      <c r="BG73" s="30">
        <v>3.9813332210897343</v>
      </c>
      <c r="BH73" s="39">
        <v>-2.6840906282580503</v>
      </c>
      <c r="BI73" s="30">
        <v>3.8250000000000002</v>
      </c>
      <c r="BJ73" s="30">
        <v>1.9140000000000001</v>
      </c>
      <c r="BK73" s="30">
        <v>29.293072129958318</v>
      </c>
      <c r="BL73" s="30">
        <v>7.8240770240044366</v>
      </c>
      <c r="BM73" s="39">
        <v>-2.0693141372645991</v>
      </c>
      <c r="BN73" s="30">
        <v>4.1160000000000005</v>
      </c>
      <c r="BO73" s="30">
        <v>1.9500000000000002</v>
      </c>
      <c r="BP73" s="30">
        <v>39.622960276942436</v>
      </c>
      <c r="BQ73" s="30">
        <v>9.6265695522211931</v>
      </c>
      <c r="BR73" s="39">
        <v>-2.225800698953627</v>
      </c>
      <c r="BS73" s="30">
        <v>6.6400000000000006</v>
      </c>
      <c r="BT73" s="30">
        <v>3.1220000000000003</v>
      </c>
      <c r="BU73" s="30">
        <v>48.971063614882034</v>
      </c>
      <c r="BV73" s="30">
        <v>7.7458231414810284</v>
      </c>
      <c r="BW73" s="39">
        <v>-2.3372057076362553</v>
      </c>
      <c r="BX73" s="30">
        <v>0.30704333844609388</v>
      </c>
      <c r="BY73" s="30">
        <v>-0.097054745304132509</v>
      </c>
      <c r="BZ73" s="30">
        <v>0.6955366867721644</v>
      </c>
      <c r="CA73" s="30">
        <v>0.8580000000000001</v>
      </c>
      <c r="CB73" s="30">
        <v>0.79800000000000004</v>
      </c>
      <c r="CC73" s="30">
        <v>0.060000000000000005</v>
      </c>
      <c r="CD73" s="30">
        <v>8.3895757949768104</v>
      </c>
      <c r="CE73" s="30">
        <v>10.547041654974691</v>
      </c>
      <c r="CF73" s="30">
        <v>0.065250000000000002</v>
      </c>
      <c r="CG73" s="30">
        <v>3.0621764044969044</v>
      </c>
      <c r="CH73" s="30">
        <v>0.44400000000000012</v>
      </c>
      <c r="CI73" s="30">
        <v>0.20699999999999999</v>
      </c>
      <c r="CJ73" s="30">
        <v>0.35399999999999993</v>
      </c>
      <c r="CK73" s="30">
        <v>55.704964539007086</v>
      </c>
      <c r="CL73" s="30">
        <v>25.19432624113475</v>
      </c>
      <c r="CM73" s="30">
        <v>44.295035460992914</v>
      </c>
      <c r="CN73" s="30">
        <v>-1.6743140916185932</v>
      </c>
      <c r="CO73" s="30">
        <v>-1.6823596509642</v>
      </c>
      <c r="CP73" s="30">
        <v>0.1258405460726697</v>
      </c>
      <c r="CQ73" s="31">
        <v>0.5</v>
      </c>
      <c r="CR73" s="30">
        <v>1.2975000000000001</v>
      </c>
      <c r="CS73" s="30">
        <v>1.2390000000000001</v>
      </c>
      <c r="CT73" s="30">
        <v>0.058500000000000017</v>
      </c>
      <c r="CU73" s="30">
        <v>17.153816731339866</v>
      </c>
      <c r="CV73" s="30">
        <v>13.942474494713338</v>
      </c>
      <c r="CW73" s="30">
        <v>0.047</v>
      </c>
      <c r="CX73" s="30">
        <v>4.095995920428777</v>
      </c>
      <c r="CY73" s="30">
        <v>0.82799999999999996</v>
      </c>
      <c r="CZ73" s="30">
        <v>0.12300000000000001</v>
      </c>
      <c r="DA73" s="30">
        <v>0.41100000000000003</v>
      </c>
      <c r="DB73" s="30">
        <v>66.5988358336094</v>
      </c>
      <c r="DC73" s="30">
        <v>10.408877951824334</v>
      </c>
      <c r="DD73" s="30">
        <v>33.401164166390615</v>
      </c>
      <c r="DE73" s="30">
        <v>-1.8279965795652284</v>
      </c>
      <c r="DF73" s="30">
        <v>-1.8454555445375</v>
      </c>
      <c r="DG73" s="30">
        <v>0.18473176783938478</v>
      </c>
      <c r="DH73" s="30">
        <v>1</v>
      </c>
      <c r="DI73" s="30">
        <v>1.149</v>
      </c>
      <c r="DJ73" s="30">
        <v>0.83700000000000008</v>
      </c>
      <c r="DK73" s="30">
        <v>0.31200000000000006</v>
      </c>
      <c r="DL73" s="30">
        <v>8.8144477990491623</v>
      </c>
      <c r="DM73" s="30">
        <v>10.696637936390085</v>
      </c>
      <c r="DN73" s="30">
        <v>0.049999999999999996</v>
      </c>
      <c r="DO73" s="30">
        <v>5.1352313298605026</v>
      </c>
      <c r="DP73" s="30">
        <v>0.30299999999999999</v>
      </c>
      <c r="DQ73" s="30">
        <v>0.114</v>
      </c>
      <c r="DR73" s="30">
        <v>0.53400000000000003</v>
      </c>
      <c r="DS73" s="30">
        <v>35.728829487313355</v>
      </c>
      <c r="DT73" s="30">
        <v>13.655111203926074</v>
      </c>
      <c r="DU73" s="30">
        <v>64.271170512686652</v>
      </c>
      <c r="DV73" s="30">
        <v>-1.5314117894688215</v>
      </c>
      <c r="DW73" s="30">
        <v>-1.5314730031911956</v>
      </c>
      <c r="DX73" s="30">
        <v>0.074317350289637568</v>
      </c>
      <c r="DY73" s="30">
        <v>1</v>
      </c>
      <c r="DZ73" s="30">
        <v>1.9100000000000001</v>
      </c>
      <c r="EA73" s="30">
        <v>1.7459999999999998</v>
      </c>
      <c r="EB73" s="30">
        <v>0.29600000000000004</v>
      </c>
      <c r="EC73" s="30">
        <v>17.236134311077556</v>
      </c>
      <c r="ED73" s="30">
        <v>10.039034905537058</v>
      </c>
      <c r="EE73" s="30">
        <v>0.041250000000000002</v>
      </c>
      <c r="EF73" s="30">
        <v>0.65400000000000003</v>
      </c>
      <c r="EG73" s="30">
        <v>0.106</v>
      </c>
      <c r="EH73" s="30">
        <v>0.94200000000000006</v>
      </c>
      <c r="EI73" s="30">
        <v>40.258813029897368</v>
      </c>
      <c r="EJ73" s="30">
        <v>7.1061133422579204</v>
      </c>
      <c r="EK73" s="30">
        <v>59.741186970102632</v>
      </c>
      <c r="EL73" s="30">
        <v>-1.6028261805028094</v>
      </c>
      <c r="EM73" s="30">
        <v>-1.6568733748911184</v>
      </c>
      <c r="EN73" s="30">
        <v>0.17322752717148124</v>
      </c>
      <c r="EO73" s="30">
        <v>2</v>
      </c>
    </row>
    <row r="74" ht="14.25">
      <c r="A74" s="42" t="s">
        <v>139</v>
      </c>
      <c r="B74" s="43">
        <v>2</v>
      </c>
      <c r="C74" s="43">
        <v>10</v>
      </c>
      <c r="D74" s="30">
        <v>0.9396000000000001</v>
      </c>
      <c r="E74" s="30">
        <v>1.1603999999999999</v>
      </c>
      <c r="F74" s="30">
        <v>2.1024000000000003</v>
      </c>
      <c r="G74" s="30">
        <v>0.0024000000000000002</v>
      </c>
      <c r="H74" s="30">
        <v>10.338781241408626</v>
      </c>
      <c r="I74" s="30">
        <v>17.521322713158611</v>
      </c>
      <c r="J74" s="30">
        <v>0.57240000000000002</v>
      </c>
      <c r="K74" s="30">
        <v>58.875823785622252</v>
      </c>
      <c r="L74" s="30">
        <f>J74/F74</f>
        <v>0.27226027397260272</v>
      </c>
      <c r="M74" s="30">
        <v>-1.5907981202495736</v>
      </c>
      <c r="N74" s="31">
        <v>0.1747370452483433</v>
      </c>
      <c r="O74" s="30">
        <v>0.81540000000000012</v>
      </c>
      <c r="P74" s="30">
        <v>0.82620000000000005</v>
      </c>
      <c r="Q74" s="30">
        <v>1.6512</v>
      </c>
      <c r="R74" s="30">
        <v>0.0096000000000000009</v>
      </c>
      <c r="S74" s="30">
        <v>10.341536379500827</v>
      </c>
      <c r="T74" s="30">
        <v>16.140555582760229</v>
      </c>
      <c r="U74" s="30">
        <v>0.42780000000000007</v>
      </c>
      <c r="V74" s="30">
        <v>54.724342119390791</v>
      </c>
      <c r="W74" s="30">
        <f>U74/Q74</f>
        <v>0.25908430232558144</v>
      </c>
      <c r="X74" s="30">
        <v>-1.5405773296698215</v>
      </c>
      <c r="Y74" s="31">
        <v>0.15370623172449763</v>
      </c>
      <c r="Z74" s="32">
        <f>F74-Q74</f>
        <v>0.45120000000000027</v>
      </c>
      <c r="AA74" s="30">
        <v>3.7746000000000004</v>
      </c>
      <c r="AB74" s="30">
        <v>7.8738000000000001</v>
      </c>
      <c r="AC74" s="30">
        <v>0.0252</v>
      </c>
      <c r="AD74" s="30">
        <v>2.0819999999999999</v>
      </c>
      <c r="AE74" s="30">
        <v>1.6926000000000001</v>
      </c>
      <c r="AF74" s="30">
        <v>11.373812992179598</v>
      </c>
      <c r="AG74" s="30">
        <f>AF74/AA74</f>
        <v>3.0132498787102202</v>
      </c>
      <c r="AH74" s="30">
        <v>-2.8848476176806015</v>
      </c>
      <c r="AI74" s="44">
        <f>(AE74/AA74)*100</f>
        <v>44.841837545700201</v>
      </c>
      <c r="AJ74" s="30">
        <v>3.6912000000000007</v>
      </c>
      <c r="AK74" s="30">
        <v>6.269400000000001</v>
      </c>
      <c r="AL74" s="30">
        <v>0.031800000000000002</v>
      </c>
      <c r="AM74" s="30">
        <v>2.0124000000000004</v>
      </c>
      <c r="AN74" s="30">
        <v>1.6788000000000001</v>
      </c>
      <c r="AO74" s="30">
        <v>11.663831505475004</v>
      </c>
      <c r="AP74" s="30">
        <f>AN74/AJ74</f>
        <v>0.45481144343302982</v>
      </c>
      <c r="AQ74" s="30">
        <v>-2.6790041118544146</v>
      </c>
      <c r="AR74" s="45">
        <f>(AN74/AJ74)*100</f>
        <v>45.481144343302979</v>
      </c>
      <c r="AS74" s="46">
        <f>AJ74-AA74</f>
        <v>-0.083399999999999697</v>
      </c>
      <c r="AT74" s="46">
        <f>AN74-AE74</f>
        <v>-0.013800000000000034</v>
      </c>
      <c r="AU74" s="30">
        <v>0.92683760303725338</v>
      </c>
      <c r="AV74" s="30">
        <v>0.61141743396637682</v>
      </c>
      <c r="AW74" s="30">
        <v>0.74233151897423622</v>
      </c>
      <c r="AX74" s="31">
        <v>0.74253801560468258</v>
      </c>
      <c r="AY74" s="30">
        <v>3.9055999999999997</v>
      </c>
      <c r="AZ74" s="30">
        <v>1.9976000000000003</v>
      </c>
      <c r="BA74" s="30">
        <v>9.7555045434823455</v>
      </c>
      <c r="BB74" s="30">
        <v>2.5027209707054929</v>
      </c>
      <c r="BC74" s="39">
        <v>-2.478170977167315</v>
      </c>
      <c r="BD74" s="30">
        <v>5.8823999999999996</v>
      </c>
      <c r="BE74" s="30">
        <v>2.6844000000000001</v>
      </c>
      <c r="BF74" s="30">
        <v>19.481152171411519</v>
      </c>
      <c r="BG74" s="30">
        <v>3.4667502090178877</v>
      </c>
      <c r="BH74" s="39">
        <v>-2.6307472695026664</v>
      </c>
      <c r="BI74" s="30">
        <v>7.3295999999999992</v>
      </c>
      <c r="BJ74" s="30">
        <v>3.5928000000000004</v>
      </c>
      <c r="BK74" s="30">
        <v>29.429528313169662</v>
      </c>
      <c r="BL74" s="30">
        <v>4.0812613629084833</v>
      </c>
      <c r="BM74" s="39">
        <v>-2.6646857240180282</v>
      </c>
      <c r="BN74" s="30">
        <v>7.6392000000000007</v>
      </c>
      <c r="BO74" s="30">
        <v>3.4164000000000003</v>
      </c>
      <c r="BP74" s="30">
        <v>38.695962857561781</v>
      </c>
      <c r="BQ74" s="30">
        <v>5.1393377187003013</v>
      </c>
      <c r="BR74" s="39">
        <v>-2.335882511841413</v>
      </c>
      <c r="BS74" s="30">
        <v>10.621200000000002</v>
      </c>
      <c r="BT74" s="30">
        <v>4.9787999999999997</v>
      </c>
      <c r="BU74" s="30">
        <v>48.18034001337363</v>
      </c>
      <c r="BV74" s="30">
        <v>4.6597832802657724</v>
      </c>
      <c r="BW74" s="39">
        <v>-2.9178764533493462</v>
      </c>
      <c r="BX74" s="30">
        <v>0.18415911362099188</v>
      </c>
      <c r="BY74" s="30">
        <v>0.97347666308295666</v>
      </c>
      <c r="BZ74" s="30">
        <v>0.20018314421793137</v>
      </c>
      <c r="CA74" s="30">
        <v>1.3402500000000002</v>
      </c>
      <c r="CB74" s="30">
        <v>0.97950000000000015</v>
      </c>
      <c r="CC74" s="30">
        <v>0.36075000000000002</v>
      </c>
      <c r="CD74" s="30">
        <v>8.0789118718586366</v>
      </c>
      <c r="CE74" s="30">
        <v>9.0933002745082945</v>
      </c>
      <c r="CF74" s="30">
        <v>0.057749999999999989</v>
      </c>
      <c r="CG74" s="30">
        <v>3.0080657093712286</v>
      </c>
      <c r="CH74" s="30">
        <v>0.45300000000000001</v>
      </c>
      <c r="CI74" s="30">
        <v>0.1515</v>
      </c>
      <c r="CJ74" s="30">
        <v>0.52650000000000008</v>
      </c>
      <c r="CK74" s="30">
        <v>44.907373929113049</v>
      </c>
      <c r="CL74" s="30">
        <v>15.374195265499614</v>
      </c>
      <c r="CM74" s="30">
        <v>55.092626070886944</v>
      </c>
      <c r="CN74" s="30">
        <v>-1.5602701665580541</v>
      </c>
      <c r="CO74" s="30">
        <v>-1.5863935763441221</v>
      </c>
      <c r="CP74" s="30">
        <v>0.076656483330277289</v>
      </c>
      <c r="CQ74" s="31">
        <v>0.5</v>
      </c>
      <c r="CR74" s="30">
        <v>2.1266666666666669</v>
      </c>
      <c r="CS74" s="30">
        <v>1.5820000000000001</v>
      </c>
      <c r="CT74" s="30">
        <v>0.54466666666666674</v>
      </c>
      <c r="CU74" s="30">
        <v>16.442653503924408</v>
      </c>
      <c r="CV74" s="30">
        <v>11.717283403576593</v>
      </c>
      <c r="CW74" s="30">
        <v>0.032500000000000001</v>
      </c>
      <c r="CX74" s="30">
        <v>4.0350493022383498</v>
      </c>
      <c r="CY74" s="30">
        <v>0.69800000000000006</v>
      </c>
      <c r="CZ74" s="30">
        <v>0.11</v>
      </c>
      <c r="DA74" s="30">
        <v>0.88400000000000001</v>
      </c>
      <c r="DB74" s="30">
        <v>46.376007735034108</v>
      </c>
      <c r="DC74" s="30">
        <v>8.6315682664567035</v>
      </c>
      <c r="DD74" s="30">
        <v>53.623992264965892</v>
      </c>
      <c r="DE74" s="30">
        <v>-1.70301821972737</v>
      </c>
      <c r="DF74" s="30">
        <v>-1.8297952464837319</v>
      </c>
      <c r="DG74" s="30">
        <v>0.15785929330558524</v>
      </c>
      <c r="DH74" s="30">
        <v>1</v>
      </c>
      <c r="DI74" s="30">
        <v>1.8180000000000001</v>
      </c>
      <c r="DJ74" s="30">
        <v>1.4925000000000002</v>
      </c>
      <c r="DK74" s="30">
        <v>0.32549999999999996</v>
      </c>
      <c r="DL74" s="30">
        <v>8.9387304122993427</v>
      </c>
      <c r="DM74" s="30">
        <v>6.4188137739206983</v>
      </c>
      <c r="DN74" s="30">
        <v>0.039</v>
      </c>
      <c r="DO74" s="30">
        <v>5.1443196885051616</v>
      </c>
      <c r="DP74" s="30">
        <v>0.60000000000000009</v>
      </c>
      <c r="DQ74" s="30">
        <v>0.088500000000000009</v>
      </c>
      <c r="DR74" s="30">
        <v>0.89250000000000007</v>
      </c>
      <c r="DS74" s="30">
        <v>35.705331974305025</v>
      </c>
      <c r="DT74" s="30">
        <v>6.759573239575138</v>
      </c>
      <c r="DU74" s="30">
        <v>64.294668025694975</v>
      </c>
      <c r="DV74" s="30">
        <v>-1.6109330631081284</v>
      </c>
      <c r="DW74" s="30">
        <v>-1.7077413925422327</v>
      </c>
      <c r="DX74" s="30">
        <v>0.074857935731893574</v>
      </c>
      <c r="DY74" s="30">
        <v>2.3333333333333335</v>
      </c>
      <c r="DZ74" s="30">
        <v>2.0554999999999999</v>
      </c>
      <c r="EA74" s="30">
        <v>1.5855000000000001</v>
      </c>
      <c r="EB74" s="30">
        <v>0.47000000000000008</v>
      </c>
      <c r="EC74" s="30">
        <v>16.991647107010788</v>
      </c>
      <c r="ED74" s="30">
        <v>11.199333702966674</v>
      </c>
      <c r="EE74" s="30">
        <v>0.077499999999999999</v>
      </c>
      <c r="EF74" s="30">
        <v>0.65849999999999997</v>
      </c>
      <c r="EG74" s="30">
        <v>0.45150000000000007</v>
      </c>
      <c r="EH74" s="30">
        <v>0.92699999999999994</v>
      </c>
      <c r="EI74" s="30">
        <v>40.714336414793223</v>
      </c>
      <c r="EJ74" s="30">
        <v>25.93238250467207</v>
      </c>
      <c r="EK74" s="30">
        <v>59.28566358520677</v>
      </c>
      <c r="EL74" s="30">
        <v>-1.6284461418521616</v>
      </c>
      <c r="EM74" s="30">
        <v>-1.7504716083904639</v>
      </c>
      <c r="EN74" s="30">
        <v>0.16340261870025749</v>
      </c>
      <c r="EO74" s="30">
        <v>1.5</v>
      </c>
    </row>
    <row r="75" ht="14.25">
      <c r="A75" s="42" t="s">
        <v>138</v>
      </c>
      <c r="B75" s="51">
        <v>2</v>
      </c>
      <c r="C75" s="48">
        <v>10.02</v>
      </c>
      <c r="D75" s="30">
        <v>0.70140000000000013</v>
      </c>
      <c r="E75" s="30">
        <v>0.93420000000000003</v>
      </c>
      <c r="F75" s="30">
        <v>1.6938000000000002</v>
      </c>
      <c r="G75" s="30">
        <v>0.058200000000000009</v>
      </c>
      <c r="H75" s="30">
        <v>10.574654773298361</v>
      </c>
      <c r="I75" s="30">
        <v>17.554551297991523</v>
      </c>
      <c r="J75" s="30">
        <v>0.36960000000000004</v>
      </c>
      <c r="K75" s="30">
        <v>52.746054117639723</v>
      </c>
      <c r="L75" s="30">
        <f>J75/F75</f>
        <v>0.21820758058802692</v>
      </c>
      <c r="M75" s="30">
        <v>-1.4800255411000258</v>
      </c>
      <c r="N75" s="31">
        <v>0.15299472376549958</v>
      </c>
      <c r="O75" s="30">
        <v>0.64440000000000008</v>
      </c>
      <c r="P75" s="30">
        <v>0.79859999999999998</v>
      </c>
      <c r="Q75" s="30">
        <v>1.5186000000000002</v>
      </c>
      <c r="R75" s="30">
        <v>0.075600000000000028</v>
      </c>
      <c r="S75" s="30">
        <v>10.755526987920419</v>
      </c>
      <c r="T75" s="30">
        <v>17.905100724521919</v>
      </c>
      <c r="U75" s="30">
        <v>0.32100000000000001</v>
      </c>
      <c r="V75" s="30">
        <v>49.695165039718376</v>
      </c>
      <c r="W75" s="30">
        <f>U75/Q75</f>
        <v>0.21137890161991305</v>
      </c>
      <c r="X75" s="30">
        <v>-1.4386773167489015</v>
      </c>
      <c r="Y75" s="31">
        <v>0.12438152514177933</v>
      </c>
      <c r="Z75" s="32">
        <f>F75-Q75</f>
        <v>0.17520000000000002</v>
      </c>
      <c r="AA75" s="30">
        <v>2.3062</v>
      </c>
      <c r="AB75" s="30">
        <v>4.5992000000000006</v>
      </c>
      <c r="AC75" s="30">
        <v>0.014000000000000002</v>
      </c>
      <c r="AD75" s="30">
        <v>1.3836999999999999</v>
      </c>
      <c r="AE75" s="30">
        <v>0.92249999999999999</v>
      </c>
      <c r="AF75" s="30">
        <v>11.42947125682287</v>
      </c>
      <c r="AG75" s="30">
        <f>AF75/AA75</f>
        <v>4.9559757422699118</v>
      </c>
      <c r="AH75" s="30">
        <v>-2.7208596148401996</v>
      </c>
      <c r="AI75" s="44">
        <f>(AE75/AA75)*100</f>
        <v>40.000867227473762</v>
      </c>
      <c r="AJ75" s="30">
        <v>2.1581000000000001</v>
      </c>
      <c r="AK75" s="30">
        <v>3.9918000000000005</v>
      </c>
      <c r="AL75" s="30">
        <v>0.014500000000000002</v>
      </c>
      <c r="AM75" s="30">
        <v>1.2696000000000001</v>
      </c>
      <c r="AN75" s="30">
        <v>0.88849999999999996</v>
      </c>
      <c r="AO75" s="30">
        <v>11.523224351515108</v>
      </c>
      <c r="AP75" s="30">
        <f>AN75/AJ75</f>
        <v>0.41170474028080251</v>
      </c>
      <c r="AQ75" s="30">
        <v>-2.6762501100201632</v>
      </c>
      <c r="AR75" s="45">
        <f>(AN75/AJ75)*100</f>
        <v>41.17047402808025</v>
      </c>
      <c r="AS75" s="46">
        <f>AJ75-AA75</f>
        <v>-0.1480999999999999</v>
      </c>
      <c r="AT75" s="46">
        <f>AN75-AE75</f>
        <v>-0.03400000000000003</v>
      </c>
      <c r="AU75" s="30">
        <v>10.652628642842727</v>
      </c>
      <c r="AV75" s="30">
        <v>-0.14532122042695889</v>
      </c>
      <c r="AW75" s="30">
        <v>0.037584179339400836</v>
      </c>
      <c r="AX75" s="31">
        <v>0.037967784264035895</v>
      </c>
      <c r="AY75" s="30">
        <v>9.4024000000000001</v>
      </c>
      <c r="AZ75" s="30">
        <v>4.0151999999999992</v>
      </c>
      <c r="BA75" s="30">
        <v>9.7703238749233812</v>
      </c>
      <c r="BB75" s="30">
        <v>1.3725293875249578</v>
      </c>
      <c r="BC75" s="39">
        <v>-2.9922705942079899</v>
      </c>
      <c r="BD75" s="30">
        <v>4.1534000000000004</v>
      </c>
      <c r="BE75" s="30">
        <v>2.0759999999999996</v>
      </c>
      <c r="BF75" s="30">
        <v>19.936624207636232</v>
      </c>
      <c r="BG75" s="30">
        <v>4.8435206971338323</v>
      </c>
      <c r="BH75" s="39">
        <v>-2.1827277937650562</v>
      </c>
      <c r="BI75" s="30">
        <v>4.8107999999999995</v>
      </c>
      <c r="BJ75" s="30">
        <v>2.1564000000000001</v>
      </c>
      <c r="BK75" s="30">
        <v>28.598463184662556</v>
      </c>
      <c r="BL75" s="30">
        <v>5.9760163825052866</v>
      </c>
      <c r="BM75" s="39">
        <v>-2.2235298879527212</v>
      </c>
      <c r="BN75" s="30">
        <v>8.0411999999999999</v>
      </c>
      <c r="BO75" s="30">
        <v>3.4259999999999997</v>
      </c>
      <c r="BP75" s="30">
        <v>38.771372670898884</v>
      </c>
      <c r="BQ75" s="30">
        <v>4.8827428449472139</v>
      </c>
      <c r="BR75" s="39">
        <v>-2.4778781516933743</v>
      </c>
      <c r="BS75" s="30">
        <v>7.0200000000000005</v>
      </c>
      <c r="BT75" s="30">
        <v>3.0791999999999997</v>
      </c>
      <c r="BU75" s="30">
        <v>48.727888221240889</v>
      </c>
      <c r="BV75" s="30">
        <v>7.0390516256108864</v>
      </c>
      <c r="BW75" s="39">
        <v>-2.3428280384671942</v>
      </c>
      <c r="BX75" s="49">
        <v>0.11398573833270979</v>
      </c>
      <c r="BY75" s="49">
        <v>0.75736347324395337</v>
      </c>
      <c r="BZ75" s="49">
        <v>0.19553512249843852</v>
      </c>
      <c r="CA75" s="30">
        <v>1.0627500000000001</v>
      </c>
      <c r="CB75" s="30">
        <v>0.62550000000000006</v>
      </c>
      <c r="CC75" s="30">
        <v>0.43725000000000003</v>
      </c>
      <c r="CD75" s="30">
        <v>8.9448170285564839</v>
      </c>
      <c r="CE75" s="30">
        <v>15.301459107060737</v>
      </c>
      <c r="CF75" s="30">
        <v>0.066750000000000004</v>
      </c>
      <c r="CG75" s="30">
        <v>3.1503893359416995</v>
      </c>
      <c r="CH75" s="30">
        <v>0.252</v>
      </c>
      <c r="CI75" s="30">
        <v>0.093000000000000013</v>
      </c>
      <c r="CJ75" s="30">
        <v>0.37350000000000005</v>
      </c>
      <c r="CK75" s="30">
        <v>42.13841666986454</v>
      </c>
      <c r="CL75" s="30">
        <v>15.459981836089899</v>
      </c>
      <c r="CM75" s="30">
        <v>57.861583330135453</v>
      </c>
      <c r="CN75" s="30">
        <v>-1.4721002917506649</v>
      </c>
      <c r="CO75" s="30">
        <v>-1.4897123093054159</v>
      </c>
      <c r="CP75" s="30">
        <v>0.11294615016243888</v>
      </c>
      <c r="CQ75" s="31">
        <v>0.25</v>
      </c>
      <c r="CR75" s="30">
        <v>1.3667500000000001</v>
      </c>
      <c r="CS75" s="30">
        <v>0.99150000000000005</v>
      </c>
      <c r="CT75" s="30">
        <v>0.37524999999999997</v>
      </c>
      <c r="CU75" s="30">
        <v>17.41476422073217</v>
      </c>
      <c r="CV75" s="30">
        <v>20.130010640022956</v>
      </c>
      <c r="CW75" s="30">
        <v>0.064250000000000002</v>
      </c>
      <c r="CX75" s="30">
        <v>4.1036929820130075</v>
      </c>
      <c r="CY75" s="30">
        <v>0.36450000000000005</v>
      </c>
      <c r="CZ75" s="30">
        <v>0.1095</v>
      </c>
      <c r="DA75" s="30">
        <v>0.62700000000000011</v>
      </c>
      <c r="DB75" s="30">
        <v>39.510953048821207</v>
      </c>
      <c r="DC75" s="30">
        <v>12.368008028486363</v>
      </c>
      <c r="DD75" s="30">
        <v>60.489046951178793</v>
      </c>
      <c r="DE75" s="30">
        <v>-1.5184980635755863</v>
      </c>
      <c r="DF75" s="30">
        <v>-1.559042014252555</v>
      </c>
      <c r="DG75" s="30">
        <v>0.31855011126771204</v>
      </c>
      <c r="DH75" s="30">
        <v>1.25</v>
      </c>
      <c r="DI75" s="30">
        <v>1.1005</v>
      </c>
      <c r="DJ75" s="30">
        <v>0.51000000000000001</v>
      </c>
      <c r="DK75" s="30">
        <v>0.53649999999999998</v>
      </c>
      <c r="DL75" s="30">
        <v>9.1283456371526182</v>
      </c>
      <c r="DM75" s="30">
        <v>17.89871693559337</v>
      </c>
      <c r="DN75" s="30">
        <v>0.036500000000000005</v>
      </c>
      <c r="DO75" s="30">
        <v>5.2051544002553536</v>
      </c>
      <c r="DP75" s="30">
        <v>0.20699999999999999</v>
      </c>
      <c r="DQ75" s="30">
        <v>0.063</v>
      </c>
      <c r="DR75" s="30">
        <v>0.318</v>
      </c>
      <c r="DS75" s="30">
        <v>36.784694460308394</v>
      </c>
      <c r="DT75" s="30">
        <v>11.22215876641919</v>
      </c>
      <c r="DU75" s="30">
        <v>63.215305539691599</v>
      </c>
      <c r="DV75" s="30">
        <v>-1.4665710024276561</v>
      </c>
      <c r="DW75" s="30">
        <v>-1.4498585808354199</v>
      </c>
      <c r="DX75" s="30">
        <v>0.091908201012669777</v>
      </c>
      <c r="DY75" s="30">
        <v>0</v>
      </c>
      <c r="DZ75" s="30">
        <v>1.5273333333333337</v>
      </c>
      <c r="EA75" s="30">
        <v>0.97600000000000009</v>
      </c>
      <c r="EB75" s="30">
        <v>0.55133333333333334</v>
      </c>
      <c r="EC75" s="30">
        <v>17.760945069980608</v>
      </c>
      <c r="ED75" s="30">
        <v>18.404420905836009</v>
      </c>
      <c r="EE75" s="30">
        <v>0.056499999999999995</v>
      </c>
      <c r="EF75" s="30">
        <v>0.38199999999999995</v>
      </c>
      <c r="EG75" s="30">
        <v>0.086000000000000007</v>
      </c>
      <c r="EH75" s="30">
        <v>0.59400000000000008</v>
      </c>
      <c r="EI75" s="30">
        <v>39.665056484909428</v>
      </c>
      <c r="EJ75" s="30">
        <v>8.7101929932812272</v>
      </c>
      <c r="EK75" s="30">
        <v>60.334943515090572</v>
      </c>
      <c r="EL75" s="30">
        <v>-1.5283377256188704</v>
      </c>
      <c r="EM75" s="30">
        <v>-1.6072777558419249</v>
      </c>
      <c r="EN75" s="30">
        <v>0.23510783437736524</v>
      </c>
      <c r="EO75" s="30">
        <v>1.6666666666666667</v>
      </c>
    </row>
    <row r="76" ht="14.25">
      <c r="A76" s="42" t="s">
        <v>139</v>
      </c>
      <c r="B76" s="43">
        <v>2</v>
      </c>
      <c r="C76" s="43">
        <v>10.029999999999999</v>
      </c>
      <c r="D76" s="30">
        <v>0.84899999999999998</v>
      </c>
      <c r="E76" s="30">
        <v>0.8992500000000001</v>
      </c>
      <c r="F76" s="30">
        <v>1.9912500000000002</v>
      </c>
      <c r="G76" s="30">
        <v>0.24300000000000002</v>
      </c>
      <c r="H76" s="30">
        <v>10.30414065465613</v>
      </c>
      <c r="I76" s="30">
        <v>17.798839867380831</v>
      </c>
      <c r="J76" s="30">
        <v>0.37724999999999997</v>
      </c>
      <c r="K76" s="30">
        <v>47.037949155970779</v>
      </c>
      <c r="L76" s="30">
        <f>J76/F76</f>
        <v>0.18945386064030129</v>
      </c>
      <c r="M76" s="30">
        <v>-1.5598298752770146</v>
      </c>
      <c r="N76" s="31">
        <v>0.1098107300588351</v>
      </c>
      <c r="O76" s="30">
        <v>0.67200000000000004</v>
      </c>
      <c r="P76" s="30">
        <v>0.63300000000000001</v>
      </c>
      <c r="Q76" s="30">
        <v>1.3812</v>
      </c>
      <c r="R76" s="30">
        <v>0.076200000000000018</v>
      </c>
      <c r="S76" s="30">
        <v>10.558036493343277</v>
      </c>
      <c r="T76" s="30">
        <v>16.795515142482351</v>
      </c>
      <c r="U76" s="30">
        <v>0.36300000000000004</v>
      </c>
      <c r="V76" s="30">
        <v>53.786173562595515</v>
      </c>
      <c r="W76" s="30">
        <f>U76/Q76</f>
        <v>0.26281494352736756</v>
      </c>
      <c r="X76" s="30">
        <v>-1.4727172628081606</v>
      </c>
      <c r="Y76" s="31">
        <v>0.16051045020900151</v>
      </c>
      <c r="Z76" s="32">
        <f>F76-Q76</f>
        <v>0.6100500000000002</v>
      </c>
      <c r="AA76" s="30">
        <v>4.5696000000000003</v>
      </c>
      <c r="AB76" s="30">
        <v>8.5134000000000007</v>
      </c>
      <c r="AC76" s="30">
        <v>0.036000000000000011</v>
      </c>
      <c r="AD76" s="30">
        <v>2.4618000000000002</v>
      </c>
      <c r="AE76" s="30">
        <v>2.1078000000000001</v>
      </c>
      <c r="AF76" s="30">
        <v>11.397135241351897</v>
      </c>
      <c r="AG76" s="30">
        <f>AF76/AA76</f>
        <v>2.4941209824387029</v>
      </c>
      <c r="AH76" s="30">
        <v>-2.5538104094276113</v>
      </c>
      <c r="AI76" s="44">
        <f>(AE76/AA76)*100</f>
        <v>46.126575630252098</v>
      </c>
      <c r="AJ76" s="30">
        <v>4.2870000000000008</v>
      </c>
      <c r="AK76" s="30">
        <v>6.991200000000001</v>
      </c>
      <c r="AL76" s="30">
        <v>0.052200000000000003</v>
      </c>
      <c r="AM76" s="30">
        <v>2.4342000000000006</v>
      </c>
      <c r="AN76" s="30">
        <v>1.8528000000000002</v>
      </c>
      <c r="AO76" s="30">
        <v>11.540781798781298</v>
      </c>
      <c r="AP76" s="30">
        <f>AN76/AJ76</f>
        <v>0.43219034289713082</v>
      </c>
      <c r="AQ76" s="30">
        <v>-2.7357143058579263</v>
      </c>
      <c r="AR76" s="45">
        <f>(AN76/AJ76)*100</f>
        <v>43.219034289713079</v>
      </c>
      <c r="AS76" s="46">
        <f>AJ76-AA76</f>
        <v>-0.28259999999999952</v>
      </c>
      <c r="AT76" s="46">
        <f>AN76-AE76</f>
        <v>-0.25499999999999989</v>
      </c>
      <c r="AU76" s="30">
        <v>7.3749596011226419</v>
      </c>
      <c r="AV76" s="30">
        <v>0.12456382227811472</v>
      </c>
      <c r="AW76" s="30">
        <v>0.19580032330433572</v>
      </c>
      <c r="AX76" s="31">
        <v>0.19659626497223257</v>
      </c>
      <c r="AY76" s="30">
        <v>9.1065000000000005</v>
      </c>
      <c r="AZ76" s="30">
        <v>5.2149999999999999</v>
      </c>
      <c r="BA76" s="30">
        <v>8.9793747720933972</v>
      </c>
      <c r="BB76" s="30">
        <v>0.94083762693642781</v>
      </c>
      <c r="BC76" s="39">
        <v>-3.4641645031112436</v>
      </c>
      <c r="BD76" s="30">
        <v>11.4636</v>
      </c>
      <c r="BE76" s="30">
        <v>5.8800000000000008</v>
      </c>
      <c r="BF76" s="30">
        <v>19.772760113726768</v>
      </c>
      <c r="BG76" s="30">
        <v>1.7556073312253013</v>
      </c>
      <c r="BH76" s="39">
        <v>-3.4826266706899376</v>
      </c>
      <c r="BI76" s="30">
        <v>11.679600000000001</v>
      </c>
      <c r="BJ76" s="30">
        <v>6.2460000000000004</v>
      </c>
      <c r="BK76" s="30">
        <v>25.660377797996155</v>
      </c>
      <c r="BL76" s="30">
        <v>2.3054087012833571</v>
      </c>
      <c r="BM76" s="39">
        <v>-3.5984906250106925</v>
      </c>
      <c r="BN76" s="30">
        <v>11.710800000000001</v>
      </c>
      <c r="BO76" s="30">
        <v>5.4456000000000007</v>
      </c>
      <c r="BP76" s="30">
        <v>39.065302640634847</v>
      </c>
      <c r="BQ76" s="30">
        <v>3.3405315740312176</v>
      </c>
      <c r="BR76" s="39">
        <v>-3.2909924854081902</v>
      </c>
      <c r="BS76" s="30">
        <v>10.8492</v>
      </c>
      <c r="BT76" s="30">
        <v>5.0076000000000009</v>
      </c>
      <c r="BU76" s="30">
        <v>48.798896687712656</v>
      </c>
      <c r="BV76" s="30">
        <v>4.5479986814090596</v>
      </c>
      <c r="BW76" s="39">
        <v>-2.6603049493366653</v>
      </c>
      <c r="BX76" s="30">
        <v>0.15215563959530992</v>
      </c>
      <c r="BY76" s="30">
        <v>0.63909294145568785</v>
      </c>
      <c r="BZ76" s="30">
        <v>0.48014856968955832</v>
      </c>
      <c r="CA76" s="30">
        <v>1.0714999999999999</v>
      </c>
      <c r="CB76" s="30">
        <v>0.62250000000000005</v>
      </c>
      <c r="CC76" s="30">
        <v>0.44900000000000001</v>
      </c>
      <c r="CD76" s="30">
        <v>8.1139019320397701</v>
      </c>
      <c r="CE76" s="30">
        <v>13.336354934454727</v>
      </c>
      <c r="CF76" s="30">
        <v>0.057999999999999996</v>
      </c>
      <c r="CG76" s="30">
        <v>3.0156212687294044</v>
      </c>
      <c r="CH76" s="30">
        <v>0.34950000000000003</v>
      </c>
      <c r="CI76" s="30">
        <v>0.16950000000000004</v>
      </c>
      <c r="CJ76" s="30">
        <v>0.27300000000000002</v>
      </c>
      <c r="CK76" s="30">
        <v>56.446534806037491</v>
      </c>
      <c r="CL76" s="30">
        <v>27.167566953268327</v>
      </c>
      <c r="CM76" s="30">
        <v>43.553465193962509</v>
      </c>
      <c r="CN76" s="30">
        <v>-1.4788287667432853</v>
      </c>
      <c r="CO76" s="30">
        <v>-1.5425142147358686</v>
      </c>
      <c r="CP76" s="30">
        <v>0.068907874033096922</v>
      </c>
      <c r="CQ76" s="31">
        <v>0</v>
      </c>
      <c r="CR76" s="30">
        <v>1.3807499999999999</v>
      </c>
      <c r="CS76" s="30">
        <v>0.79649999999999999</v>
      </c>
      <c r="CT76" s="30">
        <v>0.58425000000000005</v>
      </c>
      <c r="CU76" s="30">
        <v>16.636465705654324</v>
      </c>
      <c r="CV76" s="30">
        <v>21.00448687190724</v>
      </c>
      <c r="CW76" s="30">
        <v>0.065250000000000002</v>
      </c>
      <c r="CX76" s="30">
        <v>4.0510943294729156</v>
      </c>
      <c r="CY76" s="30">
        <v>0.39749999999999996</v>
      </c>
      <c r="CZ76" s="30">
        <v>0.14550000000000002</v>
      </c>
      <c r="DA76" s="30">
        <v>0.39900000000000002</v>
      </c>
      <c r="DB76" s="30">
        <v>49.934444202392271</v>
      </c>
      <c r="DC76" s="30">
        <v>17.950061148943728</v>
      </c>
      <c r="DD76" s="30">
        <v>50.065555797607729</v>
      </c>
      <c r="DE76" s="30">
        <v>-1.478468476739756</v>
      </c>
      <c r="DF76" s="30">
        <v>-1.5745189885618918</v>
      </c>
      <c r="DG76" s="30">
        <v>0.11889493916993302</v>
      </c>
      <c r="DH76" s="30">
        <v>0</v>
      </c>
      <c r="DI76" s="30">
        <v>1.2405000000000002</v>
      </c>
      <c r="DJ76" s="30">
        <v>0.88600000000000001</v>
      </c>
      <c r="DK76" s="30">
        <v>0.38400000000000001</v>
      </c>
      <c r="DL76" s="30">
        <v>8.7488932566627771</v>
      </c>
      <c r="DM76" s="30">
        <v>9.9069381342325773</v>
      </c>
      <c r="DN76" s="30">
        <v>0.044999999999999998</v>
      </c>
      <c r="DO76" s="30">
        <v>5.1370658147039787</v>
      </c>
      <c r="DP76" s="30">
        <v>0.30149999999999999</v>
      </c>
      <c r="DQ76" s="30">
        <v>0.19050000000000003</v>
      </c>
      <c r="DR76" s="30">
        <v>0.56199999999999994</v>
      </c>
      <c r="DS76" s="30">
        <v>34.656921026647339</v>
      </c>
      <c r="DT76" s="30">
        <v>21.931478727127288</v>
      </c>
      <c r="DU76" s="30">
        <v>65.343078973352661</v>
      </c>
      <c r="DV76" s="30">
        <v>-1.5002301745112301</v>
      </c>
      <c r="DW76" s="30">
        <v>-1.4769462832935629</v>
      </c>
      <c r="DX76" s="30">
        <v>0.071769606028795147</v>
      </c>
      <c r="DY76" s="30">
        <v>0.75</v>
      </c>
      <c r="DZ76" s="30">
        <v>1.6469999999999998</v>
      </c>
      <c r="EA76" s="30">
        <v>1.0965000000000003</v>
      </c>
      <c r="EB76" s="30">
        <v>0.55049999999999999</v>
      </c>
      <c r="EC76" s="30">
        <v>17.127834520587186</v>
      </c>
      <c r="ED76" s="30">
        <v>16.051252611035419</v>
      </c>
      <c r="EE76" s="30">
        <v>0.042000000000000003</v>
      </c>
      <c r="EF76" s="30">
        <v>0.38850000000000001</v>
      </c>
      <c r="EG76" s="30">
        <v>0.14999999999999999</v>
      </c>
      <c r="EH76" s="30">
        <v>0.70800000000000007</v>
      </c>
      <c r="EI76" s="30">
        <v>35.550226618969354</v>
      </c>
      <c r="EJ76" s="30">
        <v>13.308686421077777</v>
      </c>
      <c r="EK76" s="30">
        <v>64.449773381030653</v>
      </c>
      <c r="EL76" s="30">
        <v>-1.4849156530583654</v>
      </c>
      <c r="EM76" s="30">
        <v>-1.5777214487492879</v>
      </c>
      <c r="EN76" s="30">
        <v>0.18717351958393247</v>
      </c>
      <c r="EO76" s="30">
        <v>1.25</v>
      </c>
    </row>
    <row r="77" ht="14.25">
      <c r="A77" s="42" t="s">
        <v>138</v>
      </c>
      <c r="B77" s="59">
        <v>1</v>
      </c>
      <c r="C77" s="60">
        <v>10.039999999999999</v>
      </c>
      <c r="D77" s="30">
        <v>0.65142857142857147</v>
      </c>
      <c r="E77" s="30">
        <v>0.74914285714285733</v>
      </c>
      <c r="F77" s="30">
        <v>1.4991428571428571</v>
      </c>
      <c r="G77" s="30">
        <v>0.098571428571428574</v>
      </c>
      <c r="H77" s="30">
        <v>10.64301320438638</v>
      </c>
      <c r="I77" s="30">
        <v>17.740559945962762</v>
      </c>
      <c r="J77" s="30">
        <v>0.36514285714285721</v>
      </c>
      <c r="K77" s="30">
        <v>55.476819709635166</v>
      </c>
      <c r="L77" s="30">
        <f>J77/F77</f>
        <v>0.24356775300171532</v>
      </c>
      <c r="M77" s="30">
        <v>-1.4749026411991273</v>
      </c>
      <c r="N77" s="31">
        <v>0.25284276960553059</v>
      </c>
      <c r="O77" s="30">
        <v>0.60533333333333339</v>
      </c>
      <c r="P77" s="30">
        <v>0.58666666666666667</v>
      </c>
      <c r="Q77" s="30">
        <v>1.2539999999999998</v>
      </c>
      <c r="R77" s="30">
        <v>0.062000000000000006</v>
      </c>
      <c r="S77" s="30">
        <v>10.626197560525002</v>
      </c>
      <c r="T77" s="30">
        <v>17.941437865744291</v>
      </c>
      <c r="U77" s="30">
        <v>0.32066666666666671</v>
      </c>
      <c r="V77" s="30">
        <v>53.150835645205476</v>
      </c>
      <c r="W77" s="30">
        <f>U77/Q77</f>
        <v>0.25571504518872951</v>
      </c>
      <c r="X77" s="30">
        <v>-1.4737524438131335</v>
      </c>
      <c r="Y77" s="31">
        <v>0.18881192939143276</v>
      </c>
      <c r="Z77" s="32">
        <f>F77-Q77</f>
        <v>0.24514285714285733</v>
      </c>
      <c r="AA77" s="30">
        <v>1.3524</v>
      </c>
      <c r="AB77" s="30">
        <v>2.7630000000000003</v>
      </c>
      <c r="AC77" s="30">
        <v>0.016800000000000002</v>
      </c>
      <c r="AD77" s="30">
        <v>0.63</v>
      </c>
      <c r="AE77" s="30">
        <v>0.72240000000000004</v>
      </c>
      <c r="AF77" s="30">
        <v>11.504154360740332</v>
      </c>
      <c r="AG77" s="30">
        <f>AF77/AA77</f>
        <v>8.5064732037417414</v>
      </c>
      <c r="AH77" s="30">
        <v>-2.1867036776102329</v>
      </c>
      <c r="AI77" s="44">
        <f>(AE77/AA77)*100</f>
        <v>53.41614906832298</v>
      </c>
      <c r="AJ77" s="30">
        <v>1.3115999999999999</v>
      </c>
      <c r="AK77" s="30">
        <v>2.5212000000000003</v>
      </c>
      <c r="AL77" s="30">
        <v>0.021600000000000001</v>
      </c>
      <c r="AM77" s="30">
        <v>0.59460000000000002</v>
      </c>
      <c r="AN77" s="30">
        <v>0.71700000000000008</v>
      </c>
      <c r="AO77" s="30">
        <v>11.735075548373416</v>
      </c>
      <c r="AP77" s="30">
        <f>AN77/AJ77</f>
        <v>0.54666056724611178</v>
      </c>
      <c r="AQ77" s="30">
        <v>-2.2167753024602201</v>
      </c>
      <c r="AR77" s="45">
        <f>(AN77/AJ77)*100</f>
        <v>54.666056724611181</v>
      </c>
      <c r="AS77" s="46">
        <f>AJ77-AA77</f>
        <v>-0.040800000000000169</v>
      </c>
      <c r="AT77" s="46">
        <f>AN77-AE77</f>
        <v>-0.0053999999999999604</v>
      </c>
      <c r="AU77" s="30">
        <v>0.42714436575314363</v>
      </c>
      <c r="AV77" s="30">
        <v>0.63488755478730408</v>
      </c>
      <c r="AW77" s="30">
        <v>0.67451446432376128</v>
      </c>
      <c r="AX77" s="31">
        <v>0.67640526731079287</v>
      </c>
      <c r="AY77" s="30">
        <v>2.1924000000000001</v>
      </c>
      <c r="AZ77" s="30">
        <v>0.90360000000000018</v>
      </c>
      <c r="BA77" s="30">
        <v>9.3691912309859724</v>
      </c>
      <c r="BB77" s="30">
        <v>4.6466371451716366</v>
      </c>
      <c r="BC77" s="39">
        <v>-2.2491405930246833</v>
      </c>
      <c r="BD77" s="30">
        <v>2.5608</v>
      </c>
      <c r="BE77" s="30">
        <v>1.2336000000000003</v>
      </c>
      <c r="BF77" s="30">
        <v>19.386769039512895</v>
      </c>
      <c r="BG77" s="30">
        <v>7.7052410618920204</v>
      </c>
      <c r="BH77" s="39">
        <v>-2.3267872529923785</v>
      </c>
      <c r="BI77" s="30">
        <v>3.5376000000000003</v>
      </c>
      <c r="BJ77" s="30">
        <v>1.6524000000000001</v>
      </c>
      <c r="BK77" s="30">
        <v>28.594722609610574</v>
      </c>
      <c r="BL77" s="30">
        <v>8.4273802060641678</v>
      </c>
      <c r="BM77" s="39">
        <v>-2.4674501309291772</v>
      </c>
      <c r="BN77" s="30">
        <v>3.8520000000000003</v>
      </c>
      <c r="BO77" s="30">
        <v>1.8420000000000001</v>
      </c>
      <c r="BP77" s="30">
        <v>37.870904885858771</v>
      </c>
      <c r="BQ77" s="30">
        <v>10.069850816058773</v>
      </c>
      <c r="BR77" s="39">
        <v>-2.4383234990614682</v>
      </c>
      <c r="BS77" s="30">
        <v>5.3472</v>
      </c>
      <c r="BT77" s="30">
        <v>2.5740000000000003</v>
      </c>
      <c r="BU77" s="30">
        <v>47.422583585898074</v>
      </c>
      <c r="BV77" s="30">
        <v>9.0993300006049775</v>
      </c>
      <c r="BW77" s="39">
        <v>-2.5450280507045129</v>
      </c>
      <c r="BX77" s="49">
        <v>0.080866547638337699</v>
      </c>
      <c r="BY77" s="49">
        <v>0.50498958177009423</v>
      </c>
      <c r="BZ77" s="49">
        <v>0.40788540451592359</v>
      </c>
      <c r="CA77" s="30">
        <v>0.77200000000000002</v>
      </c>
      <c r="CB77" s="30">
        <v>0.56100000000000005</v>
      </c>
      <c r="CC77" s="30">
        <v>0.21099999999999999</v>
      </c>
      <c r="CD77" s="30">
        <v>8.575920355901852</v>
      </c>
      <c r="CE77" s="30">
        <v>15.447925690978156</v>
      </c>
      <c r="CF77" s="30">
        <v>0.076999999999999999</v>
      </c>
      <c r="CG77" s="30">
        <v>3.0892239585126009</v>
      </c>
      <c r="CH77" s="30">
        <v>0.16350000000000001</v>
      </c>
      <c r="CI77" s="30">
        <v>0.07350000000000001</v>
      </c>
      <c r="CJ77" s="30">
        <v>0.39750000000000002</v>
      </c>
      <c r="CK77" s="30">
        <v>29.453648523511269</v>
      </c>
      <c r="CL77" s="30">
        <v>13.184377265321601</v>
      </c>
      <c r="CM77" s="30">
        <v>70.546351476488724</v>
      </c>
      <c r="CN77" s="30">
        <v>-1.4254219803009462</v>
      </c>
      <c r="CO77" s="30">
        <v>-1.3516314369769959</v>
      </c>
      <c r="CP77" s="30">
        <v>0.096142328657790835</v>
      </c>
      <c r="CQ77" s="31">
        <v>0.75</v>
      </c>
      <c r="CR77" s="30">
        <v>0.81425000000000014</v>
      </c>
      <c r="CS77" s="30">
        <v>0.4995</v>
      </c>
      <c r="CT77" s="30">
        <v>0.31475000000000009</v>
      </c>
      <c r="CU77" s="30">
        <v>17.31722963404313</v>
      </c>
      <c r="CV77" s="30">
        <v>36.317877577259154</v>
      </c>
      <c r="CW77" s="30">
        <v>0.040749999999999995</v>
      </c>
      <c r="CX77" s="30">
        <v>4.1093225240018105</v>
      </c>
      <c r="CY77" s="30">
        <v>0.24149999999999999</v>
      </c>
      <c r="CZ77" s="30">
        <v>0.075000000000000011</v>
      </c>
      <c r="DA77" s="30">
        <v>0.25800000000000001</v>
      </c>
      <c r="DB77" s="30">
        <v>48.756526733500415</v>
      </c>
      <c r="DC77" s="30">
        <v>15.513001253132833</v>
      </c>
      <c r="DD77" s="30">
        <v>51.243473266499578</v>
      </c>
      <c r="DE77" s="30">
        <v>-1.5115831009441574</v>
      </c>
      <c r="DF77" s="30">
        <v>-1.4866809381743353</v>
      </c>
      <c r="DG77" s="30">
        <v>0.13839561655941818</v>
      </c>
      <c r="DH77" s="30">
        <v>0</v>
      </c>
      <c r="DI77" s="30">
        <v>0.91125000000000012</v>
      </c>
      <c r="DJ77" s="30">
        <v>0.53400000000000003</v>
      </c>
      <c r="DK77" s="30">
        <v>0.37724999999999997</v>
      </c>
      <c r="DL77" s="30">
        <v>8.7775847939664153</v>
      </c>
      <c r="DM77" s="30">
        <v>16.48069264238493</v>
      </c>
      <c r="DN77" s="30">
        <v>0.029250000000000005</v>
      </c>
      <c r="DO77" s="30">
        <v>5.128032425502143</v>
      </c>
      <c r="DP77" s="30">
        <v>0.21300000000000002</v>
      </c>
      <c r="DQ77" s="30">
        <v>0.076500000000000012</v>
      </c>
      <c r="DR77" s="30">
        <v>0.32100000000000001</v>
      </c>
      <c r="DS77" s="30">
        <v>40.192671975107714</v>
      </c>
      <c r="DT77" s="30">
        <v>14.374924341264608</v>
      </c>
      <c r="DU77" s="30">
        <v>59.807328024892286</v>
      </c>
      <c r="DV77" s="30">
        <v>-1.4499553945655863</v>
      </c>
      <c r="DW77" s="30">
        <v>-1.4464617481381918</v>
      </c>
      <c r="DX77" s="30">
        <v>0.068504035719375883</v>
      </c>
      <c r="DY77" s="30">
        <v>0.5</v>
      </c>
      <c r="DZ77" s="30">
        <v>1.0102500000000001</v>
      </c>
      <c r="EA77" s="30">
        <v>0.6795000000000001</v>
      </c>
      <c r="EB77" s="30">
        <v>0.33075000000000004</v>
      </c>
      <c r="EC77" s="30">
        <v>17.015161682612003</v>
      </c>
      <c r="ED77" s="30">
        <v>25.569275204839599</v>
      </c>
      <c r="EE77" s="30">
        <v>0.033750000000000002</v>
      </c>
      <c r="EF77" s="30">
        <v>0.27150000000000002</v>
      </c>
      <c r="EG77" s="30">
        <v>0.11850000000000002</v>
      </c>
      <c r="EH77" s="30">
        <v>0.40800000000000003</v>
      </c>
      <c r="EI77" s="30">
        <v>40.518477409119768</v>
      </c>
      <c r="EJ77" s="30">
        <v>17.642194763852086</v>
      </c>
      <c r="EK77" s="30">
        <v>59.481522590880232</v>
      </c>
      <c r="EL77" s="30">
        <v>-1.4121736449724274</v>
      </c>
      <c r="EM77" s="30">
        <v>-1.4714479997675438</v>
      </c>
      <c r="EN77" s="30">
        <v>0.14415844814941778</v>
      </c>
      <c r="EO77" s="30">
        <v>1</v>
      </c>
    </row>
    <row r="78" ht="14.25">
      <c r="A78" s="42" t="s">
        <v>138</v>
      </c>
      <c r="B78" s="51">
        <v>2</v>
      </c>
      <c r="C78" s="48">
        <v>10.039999999999999</v>
      </c>
      <c r="D78" s="30">
        <v>0.58979999999999999</v>
      </c>
      <c r="E78" s="30">
        <v>0.83220000000000005</v>
      </c>
      <c r="F78" s="30">
        <v>1.4592000000000003</v>
      </c>
      <c r="G78" s="30">
        <v>0.037199999999999997</v>
      </c>
      <c r="H78" s="30">
        <v>10.851243351714569</v>
      </c>
      <c r="I78" s="30">
        <v>17.858428494794854</v>
      </c>
      <c r="J78" s="30">
        <v>0.28259999999999996</v>
      </c>
      <c r="K78" s="30">
        <v>48.127973823975914</v>
      </c>
      <c r="L78" s="30">
        <f>J78/F78</f>
        <v>0.19366776315789466</v>
      </c>
      <c r="M78" s="30">
        <v>-1.4594964328283404</v>
      </c>
      <c r="N78" s="31">
        <v>0.16129940543241492</v>
      </c>
      <c r="O78" s="30">
        <v>0.51866666666666672</v>
      </c>
      <c r="P78" s="30">
        <v>0.6133333333333334</v>
      </c>
      <c r="Q78" s="30">
        <v>1.1673333333333336</v>
      </c>
      <c r="R78" s="30">
        <v>0.035333333333333335</v>
      </c>
      <c r="S78" s="30">
        <v>10.734680141875616</v>
      </c>
      <c r="T78" s="30">
        <v>18.212961584109834</v>
      </c>
      <c r="U78" s="30">
        <v>0.25533333333333336</v>
      </c>
      <c r="V78" s="30">
        <v>47.956397603277658</v>
      </c>
      <c r="W78" s="30">
        <f>U78/Q78</f>
        <v>0.21873215305539689</v>
      </c>
      <c r="X78" s="30">
        <v>-1.4280949058267813</v>
      </c>
      <c r="Y78" s="31">
        <v>0.14967791864453528</v>
      </c>
      <c r="Z78" s="32">
        <f>F78-Q78</f>
        <v>0.29186666666666672</v>
      </c>
      <c r="AA78" s="30">
        <v>1.2642000000000002</v>
      </c>
      <c r="AB78" s="30">
        <v>2.7516000000000003</v>
      </c>
      <c r="AC78" s="30">
        <v>0.0036000000000000003</v>
      </c>
      <c r="AD78" s="30">
        <v>0.63840000000000008</v>
      </c>
      <c r="AE78" s="30">
        <v>0.62580000000000013</v>
      </c>
      <c r="AF78" s="30">
        <v>11.478572903998614</v>
      </c>
      <c r="AG78" s="30">
        <f>AF78/AA78</f>
        <v>9.0797127859504929</v>
      </c>
      <c r="AH78" s="30">
        <v>-2.1387399294312077</v>
      </c>
      <c r="AI78" s="44">
        <f>(AE78/AA78)*100</f>
        <v>49.501661129568106</v>
      </c>
      <c r="AJ78" s="30">
        <v>1.3026000000000002</v>
      </c>
      <c r="AK78" s="30">
        <v>2.6688000000000001</v>
      </c>
      <c r="AL78" s="30">
        <v>0.0126</v>
      </c>
      <c r="AM78" s="30">
        <v>0.6522</v>
      </c>
      <c r="AN78" s="30">
        <v>0.65040000000000009</v>
      </c>
      <c r="AO78" s="30">
        <v>11.59409082625594</v>
      </c>
      <c r="AP78" s="30">
        <f>AN78/AJ78</f>
        <v>0.49930907415937353</v>
      </c>
      <c r="AQ78" s="30">
        <v>-2.0994341148630031</v>
      </c>
      <c r="AR78" s="45">
        <f>(AN78/AJ78)*100</f>
        <v>49.930907415937355</v>
      </c>
      <c r="AS78" s="46">
        <f>AJ78-AA78</f>
        <v>0.03839999999999999</v>
      </c>
      <c r="AT78" s="46">
        <f>AN78-AE78</f>
        <v>0.024599999999999955</v>
      </c>
      <c r="AU78" s="30">
        <v>0.27786099773401207</v>
      </c>
      <c r="AV78" s="30">
        <v>0.60248863076639492</v>
      </c>
      <c r="AW78" s="30">
        <v>0.7590590851806972</v>
      </c>
      <c r="AX78" s="31">
        <v>0.75906723235013496</v>
      </c>
      <c r="AY78" s="30">
        <v>1.1903999999999999</v>
      </c>
      <c r="AZ78" s="30">
        <v>0.59360000000000002</v>
      </c>
      <c r="BA78" s="30">
        <v>10.485254522433577</v>
      </c>
      <c r="BB78" s="30">
        <v>9.0678849734002789</v>
      </c>
      <c r="BC78" s="39">
        <v>-2.1063164381954538</v>
      </c>
      <c r="BD78" s="30">
        <v>1.5032000000000001</v>
      </c>
      <c r="BE78" s="30">
        <v>0.70680000000000009</v>
      </c>
      <c r="BF78" s="30">
        <v>20.008285050342593</v>
      </c>
      <c r="BG78" s="30">
        <v>13.424562654108286</v>
      </c>
      <c r="BH78" s="39">
        <v>-2.1777499449834128</v>
      </c>
      <c r="BI78" s="30">
        <v>2.3004000000000002</v>
      </c>
      <c r="BJ78" s="30">
        <v>1.1352</v>
      </c>
      <c r="BK78" s="30">
        <v>29.575839591868665</v>
      </c>
      <c r="BL78" s="30">
        <v>12.946340664534805</v>
      </c>
      <c r="BM78" s="39">
        <v>-2.3217453356236226</v>
      </c>
      <c r="BN78" s="30">
        <v>2.4804000000000004</v>
      </c>
      <c r="BO78" s="30">
        <v>1.2864</v>
      </c>
      <c r="BP78" s="30">
        <v>37.345204629617839</v>
      </c>
      <c r="BQ78" s="30">
        <v>16.094704987459629</v>
      </c>
      <c r="BR78" s="39">
        <v>-2.249669766518847</v>
      </c>
      <c r="BS78" s="30">
        <v>2.8668</v>
      </c>
      <c r="BT78" s="30">
        <v>1.3679999999999999</v>
      </c>
      <c r="BU78" s="30">
        <v>49.247824826105898</v>
      </c>
      <c r="BV78" s="30">
        <v>17.296972488747723</v>
      </c>
      <c r="BW78" s="39">
        <v>-2.2170620233853615</v>
      </c>
      <c r="BX78" s="49">
        <v>0.13890234167899218</v>
      </c>
      <c r="BY78" s="49">
        <v>0.35942111150551692</v>
      </c>
      <c r="BZ78" s="49">
        <v>0.69320139107068612</v>
      </c>
      <c r="CA78" s="30">
        <v>0.85575000000000012</v>
      </c>
      <c r="CB78" s="30">
        <v>0.61649999999999994</v>
      </c>
      <c r="CC78" s="30">
        <v>0.23925000000000002</v>
      </c>
      <c r="CD78" s="30">
        <v>9.4617111043742472</v>
      </c>
      <c r="CE78" s="30">
        <v>15.380101083793676</v>
      </c>
      <c r="CF78" s="30">
        <v>0.054749999999999986</v>
      </c>
      <c r="CG78" s="30">
        <v>3.1332032433381221</v>
      </c>
      <c r="CH78" s="30">
        <v>0.252</v>
      </c>
      <c r="CI78" s="30">
        <v>0.11100000000000002</v>
      </c>
      <c r="CJ78" s="30">
        <v>0.36450000000000005</v>
      </c>
      <c r="CK78" s="30">
        <v>40.763429270939803</v>
      </c>
      <c r="CL78" s="30">
        <v>17.580443338366038</v>
      </c>
      <c r="CM78" s="30">
        <v>59.236570729060205</v>
      </c>
      <c r="CN78" s="30">
        <v>-1.4627108992613704</v>
      </c>
      <c r="CO78" s="30">
        <v>-1.4715601399701819</v>
      </c>
      <c r="CP78" s="30">
        <v>0.06791104073524272</v>
      </c>
      <c r="CQ78" s="31">
        <v>1.75</v>
      </c>
      <c r="CR78" s="30">
        <v>0.88300000000000001</v>
      </c>
      <c r="CS78" s="30">
        <v>0.60299999999999998</v>
      </c>
      <c r="CT78" s="30">
        <v>0.28000000000000003</v>
      </c>
      <c r="CU78" s="30">
        <v>17.413770773045542</v>
      </c>
      <c r="CV78" s="30">
        <v>29.294412365839513</v>
      </c>
      <c r="CW78" s="30">
        <v>0.026000000000000002</v>
      </c>
      <c r="CX78" s="30">
        <v>4.1154277446835117</v>
      </c>
      <c r="CY78" s="30">
        <v>0.29400000000000004</v>
      </c>
      <c r="CZ78" s="30">
        <v>0.076500000000000012</v>
      </c>
      <c r="DA78" s="30">
        <v>0.309</v>
      </c>
      <c r="DB78" s="30">
        <v>49.292035489050221</v>
      </c>
      <c r="DC78" s="30">
        <v>12.871271842289991</v>
      </c>
      <c r="DD78" s="30">
        <v>50.707964510949793</v>
      </c>
      <c r="DE78" s="30">
        <v>-1.4596648955215028</v>
      </c>
      <c r="DF78" s="30">
        <v>-1.5282153072882805</v>
      </c>
      <c r="DG78" s="30">
        <v>0.13303157432078569</v>
      </c>
      <c r="DH78" s="30">
        <v>0</v>
      </c>
      <c r="DI78" s="30">
        <v>0.98325000000000018</v>
      </c>
      <c r="DJ78" s="30">
        <v>0.68250000000000011</v>
      </c>
      <c r="DK78" s="30">
        <v>0.30075000000000002</v>
      </c>
      <c r="DL78" s="30">
        <v>9.0391237547694843</v>
      </c>
      <c r="DM78" s="30">
        <v>13.350023800083218</v>
      </c>
      <c r="DN78" s="30">
        <v>0.057750000000000003</v>
      </c>
      <c r="DO78" s="30">
        <v>5.1214951405117457</v>
      </c>
      <c r="DP78" s="30">
        <v>0.26550000000000001</v>
      </c>
      <c r="DQ78" s="30">
        <v>0.088500000000000009</v>
      </c>
      <c r="DR78" s="30">
        <v>0.41699999999999998</v>
      </c>
      <c r="DS78" s="30">
        <v>39.822476937650549</v>
      </c>
      <c r="DT78" s="30">
        <v>13.280324249086348</v>
      </c>
      <c r="DU78" s="30">
        <v>60.177523062349437</v>
      </c>
      <c r="DV78" s="30">
        <v>-1.4530237644282966</v>
      </c>
      <c r="DW78" s="30">
        <v>-1.5073501060653478</v>
      </c>
      <c r="DX78" s="30">
        <v>0.13516418718049111</v>
      </c>
      <c r="DY78" s="30">
        <v>1.25</v>
      </c>
      <c r="DZ78" s="30">
        <v>1.2782500000000001</v>
      </c>
      <c r="EA78" s="30">
        <v>0.85200000000000009</v>
      </c>
      <c r="EB78" s="30">
        <v>0.42625000000000002</v>
      </c>
      <c r="EC78" s="30">
        <v>17.607779421793744</v>
      </c>
      <c r="ED78" s="30">
        <v>20.856555574773299</v>
      </c>
      <c r="EE78" s="30">
        <v>0.040250000000000001</v>
      </c>
      <c r="EF78" s="30">
        <v>0.30450000000000005</v>
      </c>
      <c r="EG78" s="30">
        <v>0.085500000000000007</v>
      </c>
      <c r="EH78" s="30">
        <v>0.5475000000000001</v>
      </c>
      <c r="EI78" s="30">
        <v>35.772152921421913</v>
      </c>
      <c r="EJ78" s="30">
        <v>10.286103842997885</v>
      </c>
      <c r="EK78" s="30">
        <v>64.227847078578094</v>
      </c>
      <c r="EL78" s="30">
        <v>-1.4006117520836432</v>
      </c>
      <c r="EM78" s="30">
        <v>-1.5273037785923176</v>
      </c>
      <c r="EN78" s="30">
        <v>0.18822340262446896</v>
      </c>
      <c r="EO78" s="30">
        <v>1.75</v>
      </c>
    </row>
    <row r="79" ht="14.25">
      <c r="A79" s="43" t="s">
        <v>139</v>
      </c>
      <c r="B79" s="43">
        <v>1</v>
      </c>
      <c r="C79" s="55">
        <v>10.06</v>
      </c>
      <c r="D79" s="30">
        <v>0.90240000000000009</v>
      </c>
      <c r="E79" s="30">
        <v>1.2156</v>
      </c>
      <c r="F79" s="30">
        <v>2.133</v>
      </c>
      <c r="G79" s="30">
        <v>0.015000000000000003</v>
      </c>
      <c r="H79" s="30">
        <v>10.472906175683047</v>
      </c>
      <c r="I79" s="30">
        <v>17.591912023992755</v>
      </c>
      <c r="J79" s="30">
        <v>0.39900000000000008</v>
      </c>
      <c r="K79" s="30">
        <v>45.873937589890886</v>
      </c>
      <c r="L79" s="30">
        <f>J79/F79</f>
        <v>0.18706047819971874</v>
      </c>
      <c r="M79" s="30">
        <v>-1.5224925897068129</v>
      </c>
      <c r="N79" s="31">
        <v>0.17825797265696786</v>
      </c>
      <c r="O79" s="30">
        <v>0.74939999999999996</v>
      </c>
      <c r="P79" s="30">
        <v>0.62879999999999991</v>
      </c>
      <c r="Q79" s="30">
        <v>1.4735999999999998</v>
      </c>
      <c r="R79" s="30">
        <v>0.095400000000000013</v>
      </c>
      <c r="S79" s="30">
        <v>10.695109564303667</v>
      </c>
      <c r="T79" s="30">
        <v>16.83926630230463</v>
      </c>
      <c r="U79" s="30">
        <v>0.38459999999999994</v>
      </c>
      <c r="V79" s="30">
        <v>51.199385232473382</v>
      </c>
      <c r="W79" s="30">
        <f>U79/Q79</f>
        <v>0.26099348534201955</v>
      </c>
      <c r="X79" s="30">
        <v>-1.4826350992043946</v>
      </c>
      <c r="Y79" s="31">
        <v>0.19835848527901659</v>
      </c>
      <c r="Z79" s="32">
        <f>F79-Q79</f>
        <v>0.65940000000000021</v>
      </c>
      <c r="AA79" s="30">
        <v>3.0713999999999997</v>
      </c>
      <c r="AB79" s="30">
        <v>6.5153999999999996</v>
      </c>
      <c r="AC79" s="30">
        <v>0.21840000000000001</v>
      </c>
      <c r="AD79" s="30">
        <v>1.6428</v>
      </c>
      <c r="AE79" s="30">
        <v>1.4286000000000001</v>
      </c>
      <c r="AF79" s="30">
        <v>11.443366833145248</v>
      </c>
      <c r="AG79" s="30">
        <f>AF79/AA79</f>
        <v>3.7257819994612391</v>
      </c>
      <c r="AH79" s="30">
        <v>-2.4773432904542467</v>
      </c>
      <c r="AI79" s="44">
        <f>(AE79/AA79)*100</f>
        <v>46.512990818519249</v>
      </c>
      <c r="AJ79" s="30">
        <v>3.1973333333333338</v>
      </c>
      <c r="AK79" s="30">
        <v>5.6520000000000001</v>
      </c>
      <c r="AL79" s="30">
        <v>0.078666666666666676</v>
      </c>
      <c r="AM79" s="30">
        <v>1.7499999999999998</v>
      </c>
      <c r="AN79" s="30">
        <v>1.4473333333333334</v>
      </c>
      <c r="AO79" s="30">
        <v>11.503224215756674</v>
      </c>
      <c r="AP79" s="30">
        <f>AN79/AJ79</f>
        <v>0.45266889074228517</v>
      </c>
      <c r="AQ79" s="30">
        <v>-2.4545523771264661</v>
      </c>
      <c r="AR79" s="45">
        <f>(AN79/AJ79)*100</f>
        <v>45.266889074228516</v>
      </c>
      <c r="AS79" s="46">
        <f>AJ79-AA79</f>
        <v>0.12593333333333412</v>
      </c>
      <c r="AT79" s="46">
        <f>AN79-AE79</f>
        <v>0.018733333333333269</v>
      </c>
      <c r="AU79" s="30">
        <v>2.6506578376495207</v>
      </c>
      <c r="AV79" s="30">
        <v>0.25453946202440281</v>
      </c>
      <c r="AW79" s="30">
        <v>0.14849559965809367</v>
      </c>
      <c r="AX79" s="31">
        <v>0.14858508494872774</v>
      </c>
      <c r="AY79" s="30">
        <v>4.1120000000000001</v>
      </c>
      <c r="AZ79" s="30">
        <v>2.1567999999999996</v>
      </c>
      <c r="BA79" s="30">
        <v>9.9365690010609171</v>
      </c>
      <c r="BB79" s="30">
        <v>2.4648379893986117</v>
      </c>
      <c r="BC79" s="39">
        <v>-2.1479289593341955</v>
      </c>
      <c r="BD79" s="30">
        <v>7.184400000000001</v>
      </c>
      <c r="BE79" s="30">
        <v>3.3335999999999997</v>
      </c>
      <c r="BF79" s="30">
        <v>19.876026116261293</v>
      </c>
      <c r="BG79" s="30">
        <v>2.8353335265064463</v>
      </c>
      <c r="BH79" s="39">
        <v>-2.6790509036470382</v>
      </c>
      <c r="BI79" s="30">
        <v>5.3915999999999995</v>
      </c>
      <c r="BJ79" s="30">
        <v>2.7792000000000003</v>
      </c>
      <c r="BK79" s="30">
        <v>28.818691466906557</v>
      </c>
      <c r="BL79" s="30">
        <v>6.0045217348602948</v>
      </c>
      <c r="BM79" s="39">
        <v>-2.4462958104340617</v>
      </c>
      <c r="BN79" s="30">
        <v>6.7212000000000005</v>
      </c>
      <c r="BO79" s="30">
        <v>3.3359999999999999</v>
      </c>
      <c r="BP79" s="30">
        <v>38.319832963807343</v>
      </c>
      <c r="BQ79" s="30">
        <v>5.8441238393772421</v>
      </c>
      <c r="BR79" s="39">
        <v>-2.6107743086621675</v>
      </c>
      <c r="BS79" s="30">
        <v>7.0344000000000007</v>
      </c>
      <c r="BT79" s="30">
        <v>3.7164000000000001</v>
      </c>
      <c r="BU79" s="30">
        <v>47.712270263808307</v>
      </c>
      <c r="BV79" s="30">
        <v>7.7819995342481763</v>
      </c>
      <c r="BW79" s="39">
        <v>-2.4357159950509222</v>
      </c>
      <c r="BX79" s="30">
        <v>0.17098370008253652</v>
      </c>
      <c r="BY79" s="30">
        <v>0.41529555293878168</v>
      </c>
      <c r="BZ79" s="30">
        <v>0.19454890200202524</v>
      </c>
      <c r="CA79" s="30">
        <v>1.15625</v>
      </c>
      <c r="CB79" s="30">
        <v>0.78150000000000008</v>
      </c>
      <c r="CC79" s="30">
        <v>0.37475000000000003</v>
      </c>
      <c r="CD79" s="30">
        <v>8.797040756888995</v>
      </c>
      <c r="CE79" s="30">
        <v>12.473230805919844</v>
      </c>
      <c r="CF79" s="30">
        <v>0.04675</v>
      </c>
      <c r="CG79" s="30">
        <v>3.1111877900709488</v>
      </c>
      <c r="CH79" s="30">
        <v>0.39000000000000001</v>
      </c>
      <c r="CI79" s="30">
        <v>0.05850000000000001</v>
      </c>
      <c r="CJ79" s="30">
        <v>0.39150000000000001</v>
      </c>
      <c r="CK79" s="30">
        <v>47.165000373700302</v>
      </c>
      <c r="CL79" s="30">
        <v>8.7394438991280285</v>
      </c>
      <c r="CM79" s="30">
        <v>52.834999626299705</v>
      </c>
      <c r="CN79" s="30">
        <v>-1.6417830533550635</v>
      </c>
      <c r="CO79" s="30">
        <v>-1.6747470408787428</v>
      </c>
      <c r="CP79" s="30">
        <v>0.16423847299035416</v>
      </c>
      <c r="CQ79" s="31">
        <v>1</v>
      </c>
      <c r="CR79" s="30">
        <v>0.95750000000000013</v>
      </c>
      <c r="CS79" s="30">
        <v>0.87450000000000006</v>
      </c>
      <c r="CT79" s="30">
        <v>0.083000000000000018</v>
      </c>
      <c r="CU79" s="30">
        <v>17.238364585213937</v>
      </c>
      <c r="CV79" s="30">
        <v>22.133338008720486</v>
      </c>
      <c r="CW79" s="30">
        <v>0.040000000000000001</v>
      </c>
      <c r="CX79" s="30">
        <v>4.103094411707044</v>
      </c>
      <c r="CY79" s="30">
        <v>0.52500000000000002</v>
      </c>
      <c r="CZ79" s="30">
        <v>0.28950000000000004</v>
      </c>
      <c r="DA79" s="30">
        <v>0.34950000000000003</v>
      </c>
      <c r="DB79" s="30">
        <v>59.405717694970065</v>
      </c>
      <c r="DC79" s="30">
        <v>28.648624943301591</v>
      </c>
      <c r="DD79" s="30">
        <v>40.594282305029928</v>
      </c>
      <c r="DE79" s="30">
        <v>-1.5895555616041699</v>
      </c>
      <c r="DF79" s="30">
        <v>-1.6035872251657426</v>
      </c>
      <c r="DG79" s="30">
        <v>0.13595930997140621</v>
      </c>
      <c r="DH79" s="30">
        <v>0.5</v>
      </c>
      <c r="DI79" s="30">
        <v>0.94274999999999998</v>
      </c>
      <c r="DJ79" s="30">
        <v>0.88500000000000012</v>
      </c>
      <c r="DK79" s="30">
        <v>0.057750000000000003</v>
      </c>
      <c r="DL79" s="30">
        <v>9.0909535827514478</v>
      </c>
      <c r="DM79" s="30">
        <v>10.903911814268319</v>
      </c>
      <c r="DN79" s="30">
        <v>0.035250000000000004</v>
      </c>
      <c r="DO79" s="30">
        <v>5.1577767041392946</v>
      </c>
      <c r="DP79" s="30">
        <v>0.39600000000000002</v>
      </c>
      <c r="DQ79" s="30">
        <v>0.28050000000000003</v>
      </c>
      <c r="DR79" s="30">
        <v>0.48900000000000005</v>
      </c>
      <c r="DS79" s="30">
        <v>44.64302668210442</v>
      </c>
      <c r="DT79" s="30">
        <v>29.799442568148145</v>
      </c>
      <c r="DU79" s="30">
        <v>55.356973317895587</v>
      </c>
      <c r="DV79" s="30">
        <v>-1.586197418521514</v>
      </c>
      <c r="DW79" s="30">
        <v>-1.6195298087031837</v>
      </c>
      <c r="DX79" s="30">
        <v>0.17715760400666569</v>
      </c>
      <c r="DY79" s="30">
        <v>1.5</v>
      </c>
      <c r="DZ79" s="30">
        <v>1.8330000000000002</v>
      </c>
      <c r="EA79" s="30">
        <v>2.0640000000000001</v>
      </c>
      <c r="EB79" s="30">
        <v>0.08900000000000001</v>
      </c>
      <c r="EC79" s="30">
        <v>16.917816825658235</v>
      </c>
      <c r="ED79" s="30">
        <v>8.1966155074023241</v>
      </c>
      <c r="EE79" s="30">
        <v>0.066000000000000003</v>
      </c>
      <c r="EF79" s="30">
        <v>0.68000000000000005</v>
      </c>
      <c r="EG79" s="30">
        <v>0.14000000000000001</v>
      </c>
      <c r="EH79" s="30">
        <v>1.29</v>
      </c>
      <c r="EI79" s="30">
        <v>39.873945915863352</v>
      </c>
      <c r="EJ79" s="30">
        <v>10.22813116816503</v>
      </c>
      <c r="EK79" s="30">
        <v>60.126054084136648</v>
      </c>
      <c r="EL79" s="30">
        <v>-1.8055662541081012</v>
      </c>
      <c r="EM79" s="30">
        <v>-1.8781304987435137</v>
      </c>
      <c r="EN79" s="30">
        <v>0.1788374211684165</v>
      </c>
      <c r="EO79" s="30">
        <v>1.5</v>
      </c>
    </row>
    <row r="80" ht="14.25">
      <c r="A80" s="43" t="s">
        <v>139</v>
      </c>
      <c r="B80" s="43">
        <v>1</v>
      </c>
      <c r="C80" s="55">
        <v>10.06</v>
      </c>
      <c r="D80" s="30">
        <v>0.54400000000000004</v>
      </c>
      <c r="E80" s="30">
        <v>0.84533333333333327</v>
      </c>
      <c r="F80" s="30">
        <v>1.4660000000000002</v>
      </c>
      <c r="G80" s="30">
        <v>0.076666666666666689</v>
      </c>
      <c r="H80" s="30">
        <v>10.665632610616116</v>
      </c>
      <c r="I80" s="30">
        <v>17.607835396920947</v>
      </c>
      <c r="J80" s="30">
        <v>0.28066666666666668</v>
      </c>
      <c r="K80" s="30">
        <v>50.775670613076393</v>
      </c>
      <c r="L80" s="30">
        <f>J80/F80</f>
        <v>0.19145065939063208</v>
      </c>
      <c r="M80" s="30">
        <v>-1.42216786566458</v>
      </c>
      <c r="N80" s="31">
        <v>0.15401013342185849</v>
      </c>
      <c r="O80" s="30">
        <v>0.57240000000000002</v>
      </c>
      <c r="P80" s="30">
        <v>0.62880000000000014</v>
      </c>
      <c r="Q80" s="30">
        <v>1.2828000000000002</v>
      </c>
      <c r="R80" s="30">
        <v>0.081600000000000006</v>
      </c>
      <c r="S80" s="30">
        <v>10.648635036458547</v>
      </c>
      <c r="T80" s="30">
        <v>17.50209245845425</v>
      </c>
      <c r="U80" s="30">
        <v>0.30660000000000004</v>
      </c>
      <c r="V80" s="30">
        <v>53.054275012407132</v>
      </c>
      <c r="W80" s="30">
        <f>U80/Q80</f>
        <v>0.23900841908325537</v>
      </c>
      <c r="X80" s="30">
        <v>-1.4516706366951422</v>
      </c>
      <c r="Y80" s="31">
        <v>0.14470694055841729</v>
      </c>
      <c r="Z80" s="32">
        <f>F80-Q80</f>
        <v>0.18320000000000003</v>
      </c>
      <c r="AA80" s="30">
        <v>5.8919999999999995</v>
      </c>
      <c r="AB80" s="30">
        <v>12.193666666666667</v>
      </c>
      <c r="AC80" s="30">
        <v>0.21166666666666667</v>
      </c>
      <c r="AD80" s="30">
        <v>3.1673333333333336</v>
      </c>
      <c r="AE80" s="30">
        <v>2.7246666666666663</v>
      </c>
      <c r="AF80" s="30">
        <v>11.330698609644749</v>
      </c>
      <c r="AG80" s="30">
        <f>AF80/AA80</f>
        <v>1.9230649371426936</v>
      </c>
      <c r="AH80" s="30">
        <v>-2.964064191721381</v>
      </c>
      <c r="AI80" s="44">
        <f>(AE80/AA80)*100</f>
        <v>46.243494003168131</v>
      </c>
      <c r="AJ80" s="30">
        <v>3.7550000000000003</v>
      </c>
      <c r="AK80" s="30">
        <v>7.3800000000000017</v>
      </c>
      <c r="AL80" s="30">
        <v>0.046000000000000006</v>
      </c>
      <c r="AM80" s="30">
        <v>1.9010000000000005</v>
      </c>
      <c r="AN80" s="30">
        <v>1.8540000000000003</v>
      </c>
      <c r="AO80" s="30">
        <v>11.279072403244756</v>
      </c>
      <c r="AP80" s="30">
        <f>AN80/AJ80</f>
        <v>0.49374167776298272</v>
      </c>
      <c r="AQ80" s="30">
        <v>-2.7578472854278293</v>
      </c>
      <c r="AR80" s="45">
        <f>(AN80/AJ80)*100</f>
        <v>49.374167776298272</v>
      </c>
      <c r="AS80" s="46">
        <f>AJ80-AA80</f>
        <v>-2.1369999999999991</v>
      </c>
      <c r="AT80" s="46">
        <f>AN80-AE80</f>
        <v>-0.87066666666666603</v>
      </c>
      <c r="AU80" s="30">
        <v>4.6629040926043155</v>
      </c>
      <c r="AV80" s="30">
        <v>0.12857462259275482</v>
      </c>
      <c r="AW80" s="30">
        <v>0.12813951889306352</v>
      </c>
      <c r="AX80" s="31">
        <v>0.1281723925777925</v>
      </c>
      <c r="AY80" s="30">
        <v>5.6736000000000004</v>
      </c>
      <c r="AZ80" s="30">
        <v>2.6095999999999999</v>
      </c>
      <c r="BA80" s="30">
        <v>9.4105209793255717</v>
      </c>
      <c r="BB80" s="30">
        <v>1.6915406798502666</v>
      </c>
      <c r="BC80" s="39">
        <v>-2.6543894363191471</v>
      </c>
      <c r="BD80" s="30">
        <v>8.6628000000000007</v>
      </c>
      <c r="BE80" s="30">
        <v>3.9060000000000001</v>
      </c>
      <c r="BF80" s="30">
        <v>19.957836704524155</v>
      </c>
      <c r="BG80" s="30">
        <v>2.3206701064445334</v>
      </c>
      <c r="BH80" s="39">
        <v>-3.3606750286068823</v>
      </c>
      <c r="BI80" s="30">
        <v>6.1776</v>
      </c>
      <c r="BJ80" s="30">
        <v>2.9052000000000007</v>
      </c>
      <c r="BK80" s="30">
        <v>28.011045927026696</v>
      </c>
      <c r="BL80" s="30">
        <v>4.6249939957491177</v>
      </c>
      <c r="BM80" s="39">
        <v>-2.6882633013612334</v>
      </c>
      <c r="BN80" s="30">
        <v>6.6225000000000005</v>
      </c>
      <c r="BO80" s="30">
        <v>2.9340000000000002</v>
      </c>
      <c r="BP80" s="30">
        <v>38.254793289523931</v>
      </c>
      <c r="BQ80" s="30">
        <v>5.8002569648370113</v>
      </c>
      <c r="BR80" s="39">
        <v>-2.7405159953197682</v>
      </c>
      <c r="BS80" s="30">
        <v>8.0351999999999997</v>
      </c>
      <c r="BT80" s="30">
        <v>3.7764000000000002</v>
      </c>
      <c r="BU80" s="30">
        <v>47.616731792160699</v>
      </c>
      <c r="BV80" s="30">
        <v>6.0343721849837699</v>
      </c>
      <c r="BW80" s="39">
        <v>-2.9552602455723052</v>
      </c>
      <c r="BX80" s="30">
        <v>-0.0078424386134073772</v>
      </c>
      <c r="BY80" s="30">
        <v>1.7109488533630639</v>
      </c>
      <c r="BZ80" s="30">
        <v>0.00040560676859002776</v>
      </c>
      <c r="CA80" s="30">
        <v>1.5717500000000002</v>
      </c>
      <c r="CB80" s="30">
        <v>0.85800000000000021</v>
      </c>
      <c r="CC80" s="30">
        <v>0.71375</v>
      </c>
      <c r="CD80" s="30">
        <v>8.3026565973951527</v>
      </c>
      <c r="CE80" s="30">
        <v>10.568587546675719</v>
      </c>
      <c r="CF80" s="30">
        <v>0.040750000000000001</v>
      </c>
      <c r="CG80" s="30">
        <v>3.0432603440909838</v>
      </c>
      <c r="CH80" s="30">
        <v>0.33450000000000002</v>
      </c>
      <c r="CI80" s="30">
        <v>0.2445</v>
      </c>
      <c r="CJ80" s="30">
        <v>0.52350000000000008</v>
      </c>
      <c r="CK80" s="30">
        <v>41.44489031567683</v>
      </c>
      <c r="CL80" s="30">
        <v>26.49065042323469</v>
      </c>
      <c r="CM80" s="30">
        <v>58.55510968432317</v>
      </c>
      <c r="CN80" s="30">
        <v>-1.7172961968333453</v>
      </c>
      <c r="CO80" s="30">
        <v>-1.5494510110064956</v>
      </c>
      <c r="CP80" s="30">
        <v>0.093903254342217218</v>
      </c>
      <c r="CQ80" s="31">
        <v>0.75</v>
      </c>
      <c r="CR80" s="30">
        <v>1.9552500000000002</v>
      </c>
      <c r="CS80" s="30">
        <v>0.88650000000000007</v>
      </c>
      <c r="CT80" s="30">
        <v>1.0687500000000001</v>
      </c>
      <c r="CU80" s="30">
        <v>16.962442027138216</v>
      </c>
      <c r="CV80" s="30">
        <v>20.065504381465107</v>
      </c>
      <c r="CW80" s="30">
        <v>0.044249999999999998</v>
      </c>
      <c r="CX80" s="30">
        <v>4.0806506993145</v>
      </c>
      <c r="CY80" s="30">
        <v>0.52200000000000002</v>
      </c>
      <c r="CZ80" s="30">
        <v>0.19500000000000001</v>
      </c>
      <c r="DA80" s="30">
        <v>0.36450000000000005</v>
      </c>
      <c r="DB80" s="30">
        <v>56.416478484800209</v>
      </c>
      <c r="DC80" s="30">
        <v>21.0788147995451</v>
      </c>
      <c r="DD80" s="30">
        <v>43.583521515199791</v>
      </c>
      <c r="DE80" s="30">
        <v>-1.5075936717804228</v>
      </c>
      <c r="DF80" s="30">
        <v>-1.6380507600262437</v>
      </c>
      <c r="DG80" s="30">
        <v>0.11342820659677848</v>
      </c>
      <c r="DH80" s="30">
        <v>0</v>
      </c>
      <c r="DI80" s="30">
        <v>1.4607500000000002</v>
      </c>
      <c r="DJ80" s="30">
        <v>0.98850000000000016</v>
      </c>
      <c r="DK80" s="30">
        <v>0.47225</v>
      </c>
      <c r="DL80" s="30">
        <v>8.7109713018494599</v>
      </c>
      <c r="DM80" s="30">
        <v>9.1214285354440463</v>
      </c>
      <c r="DN80" s="30">
        <v>0.061749999999999992</v>
      </c>
      <c r="DO80" s="30">
        <v>5.109468362392164</v>
      </c>
      <c r="DP80" s="30">
        <v>0.45150000000000007</v>
      </c>
      <c r="DQ80" s="30">
        <v>0.36450000000000005</v>
      </c>
      <c r="DR80" s="30">
        <v>0.53700000000000003</v>
      </c>
      <c r="DS80" s="30">
        <v>45.513640996406011</v>
      </c>
      <c r="DT80" s="30">
        <v>32.864731252425841</v>
      </c>
      <c r="DU80" s="30">
        <v>54.486359003593996</v>
      </c>
      <c r="DV80" s="30">
        <v>-1.5754795848395531</v>
      </c>
      <c r="DW80" s="30">
        <v>-1.5831029304117663</v>
      </c>
      <c r="DX80" s="30">
        <v>0.086925771000466182</v>
      </c>
      <c r="DY80" s="30">
        <v>1</v>
      </c>
      <c r="DZ80" s="30">
        <v>1.7124999999999999</v>
      </c>
      <c r="EA80" s="30">
        <v>1.149</v>
      </c>
      <c r="EB80" s="30">
        <v>0.56350000000000011</v>
      </c>
      <c r="EC80" s="30">
        <v>16.857418694277712</v>
      </c>
      <c r="ED80" s="30">
        <v>15.071944859905097</v>
      </c>
      <c r="EE80" s="30">
        <v>0.054500000000000007</v>
      </c>
      <c r="EF80" s="30">
        <v>0.47550000000000009</v>
      </c>
      <c r="EG80" s="30">
        <v>0.22650000000000001</v>
      </c>
      <c r="EH80" s="30">
        <v>0.6735000000000001</v>
      </c>
      <c r="EI80" s="30">
        <v>40.626779301644063</v>
      </c>
      <c r="EJ80" s="30">
        <v>18.546028455615712</v>
      </c>
      <c r="EK80" s="30">
        <v>59.373220698355929</v>
      </c>
      <c r="EL80" s="30">
        <v>-1.4908227607722957</v>
      </c>
      <c r="EM80" s="30">
        <v>-1.6049090073038155</v>
      </c>
      <c r="EN80" s="30">
        <v>0.099426753355962905</v>
      </c>
      <c r="EO80" s="30">
        <v>1.25</v>
      </c>
    </row>
    <row r="81" ht="14.25">
      <c r="A81" s="43" t="s">
        <v>139</v>
      </c>
      <c r="B81" s="43">
        <v>1</v>
      </c>
      <c r="C81" s="55">
        <v>10.06</v>
      </c>
      <c r="D81" s="30">
        <v>1.5428571428571429</v>
      </c>
      <c r="E81" s="30">
        <v>1.9448571428571431</v>
      </c>
      <c r="F81" s="30">
        <v>3.5785714285714287</v>
      </c>
      <c r="G81" s="30">
        <v>0.090857142857142859</v>
      </c>
      <c r="H81" s="30">
        <v>10.119786212285698</v>
      </c>
      <c r="I81" s="30">
        <v>17.943198041016565</v>
      </c>
      <c r="J81" s="30">
        <v>0.73457142857142865</v>
      </c>
      <c r="K81" s="30">
        <v>48.856899896076065</v>
      </c>
      <c r="L81" s="30">
        <f>J81/F81</f>
        <v>0.20526946107784433</v>
      </c>
      <c r="M81" s="30">
        <v>-1.7089297597635962</v>
      </c>
      <c r="N81" s="31">
        <v>0.16630341997238934</v>
      </c>
      <c r="O81" s="30">
        <v>1.4186666666666665</v>
      </c>
      <c r="P81" s="30">
        <v>1.3473333333333335</v>
      </c>
      <c r="Q81" s="30">
        <v>2.8300000000000001</v>
      </c>
      <c r="R81" s="30">
        <v>0.064000000000000001</v>
      </c>
      <c r="S81" s="30">
        <v>10.10917392335242</v>
      </c>
      <c r="T81" s="30">
        <v>16.028515204475561</v>
      </c>
      <c r="U81" s="30">
        <v>0.67200000000000015</v>
      </c>
      <c r="V81" s="30">
        <v>47.55951183738302</v>
      </c>
      <c r="W81" s="30">
        <f>U81/Q81</f>
        <v>0.23745583038869264</v>
      </c>
      <c r="X81" s="30">
        <v>-1.6606240870736737</v>
      </c>
      <c r="Y81" s="31">
        <v>0.20102766805386418</v>
      </c>
      <c r="Z81" s="32">
        <f>F81-Q81</f>
        <v>0.74857142857142867</v>
      </c>
      <c r="AA81" s="30">
        <v>4.6353333333333335</v>
      </c>
      <c r="AB81" s="30">
        <v>9.1717777777777787</v>
      </c>
      <c r="AC81" s="30">
        <v>0.019777777777777783</v>
      </c>
      <c r="AD81" s="30">
        <v>2.7977777777777781</v>
      </c>
      <c r="AE81" s="30">
        <v>1.8375555555555556</v>
      </c>
      <c r="AF81" s="30">
        <v>11.761450160188748</v>
      </c>
      <c r="AG81" s="30">
        <f>AF81/AA81</f>
        <v>2.5373472228222522</v>
      </c>
      <c r="AH81" s="30">
        <v>-2.9943228224930403</v>
      </c>
      <c r="AI81" s="44">
        <f>(AE81/AA81)*100</f>
        <v>39.642360611726353</v>
      </c>
      <c r="AJ81" s="30">
        <v>4.3140000000000001</v>
      </c>
      <c r="AK81" s="30">
        <v>7.5360000000000014</v>
      </c>
      <c r="AL81" s="30">
        <v>0.22200000000000003</v>
      </c>
      <c r="AM81" s="30">
        <v>2.5604999999999998</v>
      </c>
      <c r="AN81" s="30">
        <v>1.7534999999999998</v>
      </c>
      <c r="AO81" s="30">
        <v>11.930378601466082</v>
      </c>
      <c r="AP81" s="30">
        <f>AN81/AJ81</f>
        <v>0.40646731571627254</v>
      </c>
      <c r="AQ81" s="30">
        <v>-2.8739616629206535</v>
      </c>
      <c r="AR81" s="45">
        <f>(AN81/AJ81)*100</f>
        <v>40.646731571627257</v>
      </c>
      <c r="AS81" s="46">
        <f>AJ81-AA81</f>
        <v>-0.32133333333333347</v>
      </c>
      <c r="AT81" s="46">
        <f>AN81-AE81</f>
        <v>-0.084055555555555772</v>
      </c>
      <c r="AU81" s="30">
        <v>10.197060635091423</v>
      </c>
      <c r="AV81" s="30">
        <v>-0.060444567995169333</v>
      </c>
      <c r="AW81" s="30">
        <v>0.02785215981451028</v>
      </c>
      <c r="AX81" s="31">
        <v>0.027860441927733307</v>
      </c>
      <c r="AY81" s="30">
        <v>9.1888000000000005</v>
      </c>
      <c r="AZ81" s="30">
        <v>4.6784000000000008</v>
      </c>
      <c r="BA81" s="30">
        <v>10.86446283339226</v>
      </c>
      <c r="BB81" s="30">
        <v>1.3471896338514426</v>
      </c>
      <c r="BC81" s="39">
        <v>-3.6228417550999241</v>
      </c>
      <c r="BD81" s="30">
        <v>8.0460000000000012</v>
      </c>
      <c r="BE81" s="30">
        <v>3.8556000000000004</v>
      </c>
      <c r="BF81" s="30">
        <v>21.220042265761919</v>
      </c>
      <c r="BG81" s="30">
        <v>2.7242860702426559</v>
      </c>
      <c r="BH81" s="39">
        <v>-3.4268594493460172</v>
      </c>
      <c r="BI81" s="30">
        <v>7.992</v>
      </c>
      <c r="BJ81" s="30">
        <v>4.0103999999999997</v>
      </c>
      <c r="BK81" s="30">
        <v>31.375421339963843</v>
      </c>
      <c r="BL81" s="30">
        <v>3.9811618618665188</v>
      </c>
      <c r="BM81" s="39">
        <v>-3.119070693960091</v>
      </c>
      <c r="BN81" s="30">
        <v>7.9060000000000015</v>
      </c>
      <c r="BO81" s="30">
        <v>3.6540000000000004</v>
      </c>
      <c r="BP81" s="30">
        <v>40.15396221106905</v>
      </c>
      <c r="BQ81" s="30">
        <v>5.1076422494231322</v>
      </c>
      <c r="BR81" s="39">
        <v>-2.9579045649366003</v>
      </c>
      <c r="BS81" s="30">
        <v>8.5584000000000007</v>
      </c>
      <c r="BT81" s="30">
        <v>4.1928000000000001</v>
      </c>
      <c r="BU81" s="30">
        <v>50.294856869585821</v>
      </c>
      <c r="BV81" s="30">
        <v>5.9072409830234873</v>
      </c>
      <c r="BW81" s="39">
        <v>-2.7599048410529816</v>
      </c>
      <c r="BX81" s="30">
        <v>0.28294099551411023</v>
      </c>
      <c r="BY81" s="30">
        <v>1.0230603931522519</v>
      </c>
      <c r="BZ81" s="30">
        <v>0.19318964935776806</v>
      </c>
      <c r="CA81" s="30">
        <v>1.546</v>
      </c>
      <c r="CB81" s="30">
        <v>1.149</v>
      </c>
      <c r="CC81" s="30">
        <v>0.39700000000000002</v>
      </c>
      <c r="CD81" s="30">
        <v>8.7373527006969312</v>
      </c>
      <c r="CE81" s="30">
        <v>7.931148311991258</v>
      </c>
      <c r="CF81" s="30">
        <v>0.068249999999999991</v>
      </c>
      <c r="CG81" s="30">
        <v>3.0977925348600253</v>
      </c>
      <c r="CH81" s="30">
        <v>0.82500000000000007</v>
      </c>
      <c r="CI81" s="30">
        <v>0.753</v>
      </c>
      <c r="CJ81" s="30">
        <v>0.32400000000000001</v>
      </c>
      <c r="CK81" s="30">
        <v>70.412017167381975</v>
      </c>
      <c r="CL81" s="30">
        <v>63.361945636623751</v>
      </c>
      <c r="CM81" s="30">
        <v>29.587982832618025</v>
      </c>
      <c r="CN81" s="30">
        <v>-1.6056572157505358</v>
      </c>
      <c r="CO81" s="30">
        <v>-1.6212935303157578</v>
      </c>
      <c r="CP81" s="30">
        <v>0.20607615127077086</v>
      </c>
      <c r="CQ81" s="31">
        <v>0.5</v>
      </c>
      <c r="CR81" s="30">
        <v>2.6469999999999998</v>
      </c>
      <c r="CS81" s="30">
        <v>1.8920000000000001</v>
      </c>
      <c r="CT81" s="30">
        <v>0.98350000000000004</v>
      </c>
      <c r="CU81" s="30">
        <v>16.592694717206314</v>
      </c>
      <c r="CV81" s="30">
        <v>9.2445709708936619</v>
      </c>
      <c r="CW81" s="30">
        <v>0.041000000000000002</v>
      </c>
      <c r="CX81" s="30">
        <v>4.0743362895225896</v>
      </c>
      <c r="CY81" s="30">
        <v>1.1115000000000002</v>
      </c>
      <c r="CZ81" s="30">
        <v>0.71700000000000008</v>
      </c>
      <c r="DA81" s="30">
        <v>0.59399999999999997</v>
      </c>
      <c r="DB81" s="30">
        <v>65.093538664493025</v>
      </c>
      <c r="DC81" s="30">
        <v>39.62148615858959</v>
      </c>
      <c r="DD81" s="30">
        <v>34.906461335506975</v>
      </c>
      <c r="DE81" s="30">
        <v>-1.767768091096076</v>
      </c>
      <c r="DF81" s="30">
        <v>-1.8328449373431552</v>
      </c>
      <c r="DG81" s="30">
        <v>0.19202822910495385</v>
      </c>
      <c r="DH81" s="30">
        <v>1</v>
      </c>
      <c r="DI81" s="30">
        <v>1.6360000000000001</v>
      </c>
      <c r="DJ81" s="30">
        <v>1.3380000000000001</v>
      </c>
      <c r="DK81" s="30">
        <v>0.29800000000000004</v>
      </c>
      <c r="DL81" s="30">
        <v>8.6724837742862952</v>
      </c>
      <c r="DM81" s="30">
        <v>6.4816769613499963</v>
      </c>
      <c r="DN81" s="30">
        <v>0.057749999999999989</v>
      </c>
      <c r="DO81" s="30">
        <v>5.0816171848579463</v>
      </c>
      <c r="DP81" s="30">
        <v>0.438</v>
      </c>
      <c r="DQ81" s="30">
        <v>0.372</v>
      </c>
      <c r="DR81" s="30">
        <v>0.90000000000000013</v>
      </c>
      <c r="DS81" s="30">
        <v>32.735426008968609</v>
      </c>
      <c r="DT81" s="30">
        <v>27.802690582959642</v>
      </c>
      <c r="DU81" s="30">
        <v>67.264573991031398</v>
      </c>
      <c r="DV81" s="30">
        <v>-1.6687599609878214</v>
      </c>
      <c r="DW81" s="30">
        <v>-1.6578933266566416</v>
      </c>
      <c r="DX81" s="30">
        <v>0.18016734951159699</v>
      </c>
      <c r="DY81" s="30">
        <v>3</v>
      </c>
      <c r="DZ81" s="30">
        <v>2.8580000000000005</v>
      </c>
      <c r="EA81" s="30">
        <v>2.508</v>
      </c>
      <c r="EB81" s="30">
        <v>0.35000000000000003</v>
      </c>
      <c r="EC81" s="30">
        <v>16.990857928912703</v>
      </c>
      <c r="ED81" s="30">
        <v>6.943353800415724</v>
      </c>
      <c r="EE81" s="30">
        <v>0.037499999999999999</v>
      </c>
      <c r="EF81" s="30">
        <v>1.7280000000000004</v>
      </c>
      <c r="EG81" s="30">
        <v>1.6529999999999998</v>
      </c>
      <c r="EH81" s="30">
        <v>0.78000000000000014</v>
      </c>
      <c r="EI81" s="30">
        <v>66.335097001763671</v>
      </c>
      <c r="EJ81" s="30">
        <v>63.243386243386247</v>
      </c>
      <c r="EK81" s="30">
        <v>33.664902998236329</v>
      </c>
      <c r="EL81" s="30">
        <v>-1.9003895763315617</v>
      </c>
      <c r="EM81" s="30">
        <v>-1.9831086315355619</v>
      </c>
      <c r="EN81" s="30">
        <v>0.23638188685528472</v>
      </c>
      <c r="EO81" s="30">
        <v>2</v>
      </c>
    </row>
    <row r="82" ht="14.25">
      <c r="A82" s="42" t="s">
        <v>139</v>
      </c>
      <c r="B82" s="43">
        <v>1</v>
      </c>
      <c r="C82" s="43">
        <v>10.07</v>
      </c>
      <c r="D82" s="30">
        <v>0.85079999999999989</v>
      </c>
      <c r="E82" s="30">
        <v>1.2588000000000001</v>
      </c>
      <c r="F82" s="30">
        <v>2.1707999999999998</v>
      </c>
      <c r="G82" s="30">
        <v>0.061200000000000011</v>
      </c>
      <c r="H82" s="30">
        <v>10.48170037086582</v>
      </c>
      <c r="I82" s="30">
        <v>17.962274559181285</v>
      </c>
      <c r="J82" s="30">
        <v>0.49740000000000001</v>
      </c>
      <c r="K82" s="30">
        <v>56.928551701643528</v>
      </c>
      <c r="L82" s="30">
        <f>J82/F82</f>
        <v>0.2291321171918187</v>
      </c>
      <c r="M82" s="30">
        <v>-1.5813984650897002</v>
      </c>
      <c r="N82" s="31">
        <v>0.11908683953737979</v>
      </c>
      <c r="O82" s="30">
        <v>0.91560000000000008</v>
      </c>
      <c r="P82" s="30">
        <v>0.86219999999999997</v>
      </c>
      <c r="Q82" s="30">
        <v>1.8210000000000002</v>
      </c>
      <c r="R82" s="30">
        <v>0.043200000000000002</v>
      </c>
      <c r="S82" s="30">
        <v>10.638727600707536</v>
      </c>
      <c r="T82" s="30">
        <v>16.424800409637985</v>
      </c>
      <c r="U82" s="30">
        <v>0.54480000000000006</v>
      </c>
      <c r="V82" s="30">
        <v>60.53960764493452</v>
      </c>
      <c r="W82" s="30">
        <f>U82/Q82</f>
        <v>0.29917627677100495</v>
      </c>
      <c r="X82" s="30">
        <v>-1.578003901905038</v>
      </c>
      <c r="Y82" s="31">
        <v>0.19336576432862812</v>
      </c>
      <c r="Z82" s="32">
        <f>F82-Q82</f>
        <v>0.34979999999999967</v>
      </c>
      <c r="AA82" s="30">
        <v>2.785333333333333</v>
      </c>
      <c r="AB82" s="30">
        <v>4.6973333333333338</v>
      </c>
      <c r="AC82" s="30">
        <v>0.050666666666666665</v>
      </c>
      <c r="AD82" s="30">
        <v>1.6039999999999999</v>
      </c>
      <c r="AE82" s="30">
        <v>1.1813333333333336</v>
      </c>
      <c r="AF82" s="30">
        <v>11.297495837435049</v>
      </c>
      <c r="AG82" s="30">
        <f>AF82/AA82</f>
        <v>4.0560660019513106</v>
      </c>
      <c r="AH82" s="30">
        <v>-2.3293118322772353</v>
      </c>
      <c r="AI82" s="44">
        <f>(AE82/AA82)*100</f>
        <v>42.41263762565822</v>
      </c>
      <c r="AJ82" s="30">
        <v>3.0622500000000001</v>
      </c>
      <c r="AK82" s="30">
        <v>7.6057500000000005</v>
      </c>
      <c r="AL82" s="30">
        <v>0.12525</v>
      </c>
      <c r="AM82" s="30">
        <v>1.7872500000000002</v>
      </c>
      <c r="AN82" s="30">
        <v>1.2749999999999999</v>
      </c>
      <c r="AO82" s="30">
        <v>10.4839328299631</v>
      </c>
      <c r="AP82" s="30">
        <f>AN82/AJ82</f>
        <v>0.41636051922605921</v>
      </c>
      <c r="AQ82" s="30">
        <v>-2.2958319691527476</v>
      </c>
      <c r="AR82" s="45">
        <f>(AN82/AJ82)*100</f>
        <v>41.636051922605922</v>
      </c>
      <c r="AS82" s="46">
        <f>AJ82-AA82</f>
        <v>0.27691666666666714</v>
      </c>
      <c r="AT82" s="46">
        <f>AN82-AE82</f>
        <v>0.093666666666666343</v>
      </c>
      <c r="AU82" s="30">
        <v>1.7871010034996537</v>
      </c>
      <c r="AV82" s="30">
        <v>0.25923938022187631</v>
      </c>
      <c r="AW82" s="30">
        <v>0.030354772919094497</v>
      </c>
      <c r="AX82" s="31">
        <v>0.030385572872008843</v>
      </c>
      <c r="AY82" s="30">
        <v>3.8100000000000001</v>
      </c>
      <c r="AZ82" s="30">
        <v>2.266</v>
      </c>
      <c r="BA82" s="30">
        <v>8.1308326796637047</v>
      </c>
      <c r="BB82" s="30">
        <v>2.2538201117460019</v>
      </c>
      <c r="BC82" s="39">
        <v>-3.0963853955472134</v>
      </c>
      <c r="BD82" s="30">
        <v>2.6012</v>
      </c>
      <c r="BE82" s="30">
        <v>1.3868000000000003</v>
      </c>
      <c r="BF82" s="30">
        <v>18.631751153451127</v>
      </c>
      <c r="BG82" s="30">
        <v>8.5508895067996917</v>
      </c>
      <c r="BH82" s="39">
        <v>-2.1633961270936615</v>
      </c>
      <c r="BI82" s="30">
        <v>6.7523999999999997</v>
      </c>
      <c r="BJ82" s="30">
        <v>4.1880000000000006</v>
      </c>
      <c r="BK82" s="30">
        <v>30.917555478765195</v>
      </c>
      <c r="BL82" s="30">
        <v>9.394569426406445</v>
      </c>
      <c r="BM82" s="39">
        <v>-3.3632274184401729</v>
      </c>
      <c r="BN82" s="30">
        <v>2.3700000000000001</v>
      </c>
      <c r="BO82" s="30">
        <v>1.3650000000000002</v>
      </c>
      <c r="BP82" s="30">
        <v>37.611573546535318</v>
      </c>
      <c r="BQ82" s="30">
        <v>16.971150004853087</v>
      </c>
      <c r="BR82" s="39">
        <v>-1.987377107754517</v>
      </c>
      <c r="BS82" s="30">
        <v>4.8180000000000005</v>
      </c>
      <c r="BT82" s="30">
        <v>2.3652000000000002</v>
      </c>
      <c r="BU82" s="30">
        <v>47.214304536379586</v>
      </c>
      <c r="BV82" s="30">
        <v>14.313511541871538</v>
      </c>
      <c r="BW82" s="39">
        <v>-2.1871477865429649</v>
      </c>
      <c r="BX82" s="30">
        <v>0.1400195069962879</v>
      </c>
      <c r="BY82" s="30">
        <v>0.55842267650480104</v>
      </c>
      <c r="BZ82" s="30">
        <v>0.17057272349290142</v>
      </c>
      <c r="CA82" s="30">
        <v>0.91925000000000012</v>
      </c>
      <c r="CB82" s="30">
        <v>0.90000000000000002</v>
      </c>
      <c r="CC82" s="30">
        <v>0.019250000000000007</v>
      </c>
      <c r="CD82" s="30">
        <v>7.9624850281768982</v>
      </c>
      <c r="CE82" s="30">
        <v>10.569026960045086</v>
      </c>
      <c r="CF82" s="30">
        <v>0.036249999999999998</v>
      </c>
      <c r="CG82" s="30">
        <v>2.9814127277533</v>
      </c>
      <c r="CH82" s="30">
        <v>0.65849999999999997</v>
      </c>
      <c r="CI82" s="30">
        <v>0.41849999999999998</v>
      </c>
      <c r="CJ82" s="30">
        <v>0.24149999999999999</v>
      </c>
      <c r="CK82" s="30">
        <v>70.645370759758919</v>
      </c>
      <c r="CL82" s="30">
        <v>43.758242181639659</v>
      </c>
      <c r="CM82" s="30">
        <v>29.354629240241092</v>
      </c>
      <c r="CN82" s="30">
        <v>-1.7164814584920705</v>
      </c>
      <c r="CO82" s="30">
        <v>-1.8326920020067798</v>
      </c>
      <c r="CP82" s="30">
        <v>0.071198009500375595</v>
      </c>
      <c r="CQ82" s="31">
        <v>0</v>
      </c>
      <c r="CR82" s="30">
        <v>1.1610000000000003</v>
      </c>
      <c r="CS82" s="30">
        <v>0.92600000000000005</v>
      </c>
      <c r="CT82" s="30">
        <v>0.23500000000000001</v>
      </c>
      <c r="CU82" s="30">
        <v>18.543527667983742</v>
      </c>
      <c r="CV82" s="30">
        <v>22.119585507807461</v>
      </c>
      <c r="CW82" s="30">
        <v>0.067250000000000004</v>
      </c>
      <c r="CX82" s="30">
        <v>4.0453821906326022</v>
      </c>
      <c r="CY82" s="30">
        <v>0.29600000000000004</v>
      </c>
      <c r="CZ82" s="30">
        <v>0.23599999999999999</v>
      </c>
      <c r="DA82" s="30">
        <v>0.63</v>
      </c>
      <c r="DB82" s="30">
        <v>38.257032672263527</v>
      </c>
      <c r="DC82" s="30">
        <v>20.973427369339955</v>
      </c>
      <c r="DD82" s="30">
        <v>61.742967327736473</v>
      </c>
      <c r="DE82" s="30">
        <v>-1.7602688189020048</v>
      </c>
      <c r="DF82" s="30">
        <v>-1.4898723011182031</v>
      </c>
      <c r="DG82" s="30">
        <v>0.36621146048221248</v>
      </c>
      <c r="DH82" s="30">
        <v>1</v>
      </c>
      <c r="DI82" s="30">
        <v>1.4086666666666667</v>
      </c>
      <c r="DJ82" s="30">
        <v>1.1860000000000002</v>
      </c>
      <c r="DK82" s="30">
        <v>0.22266666666666668</v>
      </c>
      <c r="DL82" s="30">
        <v>10.404977661963896</v>
      </c>
      <c r="DM82" s="30">
        <v>9.4479037733449918</v>
      </c>
      <c r="DN82" s="30">
        <v>0.06275</v>
      </c>
      <c r="DO82" s="30">
        <v>5.106753512095886</v>
      </c>
      <c r="DP82" s="30">
        <v>0.26800000000000002</v>
      </c>
      <c r="DQ82" s="30">
        <v>0.13</v>
      </c>
      <c r="DR82" s="30">
        <v>0.91800000000000004</v>
      </c>
      <c r="DS82" s="30">
        <v>25.564078180615088</v>
      </c>
      <c r="DT82" s="30">
        <v>13.245859459025914</v>
      </c>
      <c r="DU82" s="30">
        <v>74.435921819384916</v>
      </c>
      <c r="DV82" s="30">
        <v>-1.6825852756434407</v>
      </c>
      <c r="DW82" s="30">
        <v>-1.4628436896258405</v>
      </c>
      <c r="DX82" s="30">
        <v>0.20651929304858341</v>
      </c>
      <c r="DY82" s="30">
        <v>3.3333333333333335</v>
      </c>
      <c r="DZ82" s="30">
        <v>1.3280000000000001</v>
      </c>
      <c r="EA82" s="30">
        <v>1.1070000000000002</v>
      </c>
      <c r="EB82" s="30">
        <v>0.221</v>
      </c>
      <c r="EC82" s="30">
        <v>16.973769692511222</v>
      </c>
      <c r="ED82" s="30">
        <v>15.620397817908852</v>
      </c>
      <c r="EE82" s="30">
        <v>0.044499999999999998</v>
      </c>
      <c r="EF82" s="30">
        <v>0.36599999999999999</v>
      </c>
      <c r="EG82" s="30">
        <v>0.16500000000000001</v>
      </c>
      <c r="EH82" s="30">
        <v>0.74099999999999999</v>
      </c>
      <c r="EI82" s="30">
        <v>33.183954671302558</v>
      </c>
      <c r="EJ82" s="30">
        <v>14.209947760009936</v>
      </c>
      <c r="EK82" s="30">
        <v>66.816045328697442</v>
      </c>
      <c r="EL82" s="30">
        <v>-1.4738724010506026</v>
      </c>
      <c r="EM82" s="30">
        <v>-1.5474705812034455</v>
      </c>
      <c r="EN82" s="30">
        <v>0.15646853150296491</v>
      </c>
      <c r="EO82" s="30">
        <v>1</v>
      </c>
    </row>
    <row r="83" ht="14.25">
      <c r="A83" s="42" t="s">
        <v>138</v>
      </c>
      <c r="B83" s="52">
        <v>2</v>
      </c>
      <c r="C83" s="55">
        <v>10.08</v>
      </c>
      <c r="D83" s="30">
        <v>0.80914285714285705</v>
      </c>
      <c r="E83" s="30">
        <v>0.91200000000000003</v>
      </c>
      <c r="F83" s="30">
        <v>1.7211428571428571</v>
      </c>
      <c r="G83" s="30">
        <v>0</v>
      </c>
      <c r="H83" s="30">
        <v>10.426659220088325</v>
      </c>
      <c r="I83" s="30">
        <v>17.858679700743902</v>
      </c>
      <c r="J83" s="30">
        <v>0.40971428571428575</v>
      </c>
      <c r="K83" s="30">
        <v>50.363192719489064</v>
      </c>
      <c r="L83" s="30">
        <f>J83/F83</f>
        <v>0.23804780876494028</v>
      </c>
      <c r="M83" s="30">
        <v>-1.4905388177777907</v>
      </c>
      <c r="N83" s="31">
        <v>0.080683714121673494</v>
      </c>
      <c r="O83" s="30">
        <v>0.72975000000000012</v>
      </c>
      <c r="P83" s="30">
        <v>0.72525000000000006</v>
      </c>
      <c r="Q83" s="30">
        <v>1.4692500000000002</v>
      </c>
      <c r="R83" s="30">
        <v>0.014250000000000001</v>
      </c>
      <c r="S83" s="30">
        <v>10.359290877890784</v>
      </c>
      <c r="T83" s="30">
        <v>17.402433235031765</v>
      </c>
      <c r="U83" s="30">
        <v>0.38175000000000003</v>
      </c>
      <c r="V83" s="30">
        <v>52.367357198892719</v>
      </c>
      <c r="W83" s="30">
        <f>U83/Q83</f>
        <v>0.25982644206227667</v>
      </c>
      <c r="X83" s="30">
        <v>-1.5160347912541814</v>
      </c>
      <c r="Y83" s="31">
        <v>0.14497331924402251</v>
      </c>
      <c r="Z83" s="32">
        <f>F83-Q83</f>
        <v>0.25189285714285692</v>
      </c>
      <c r="AA83" s="30">
        <v>2.1264000000000003</v>
      </c>
      <c r="AB83" s="30">
        <v>4.2869999999999999</v>
      </c>
      <c r="AC83" s="30">
        <v>0.012</v>
      </c>
      <c r="AD83" s="30">
        <v>1.1208000000000002</v>
      </c>
      <c r="AE83" s="30">
        <v>1.0056</v>
      </c>
      <c r="AF83" s="30">
        <v>11.530834735625595</v>
      </c>
      <c r="AG83" s="30">
        <f>AF83/AA83</f>
        <v>5.4227025656629015</v>
      </c>
      <c r="AH83" s="30">
        <v>-2.3255314535139568</v>
      </c>
      <c r="AI83" s="44">
        <f>(AE83/AA83)*100</f>
        <v>47.291196388261845</v>
      </c>
      <c r="AJ83" s="30">
        <v>2.0910000000000002</v>
      </c>
      <c r="AK83" s="30">
        <v>3.8771999999999998</v>
      </c>
      <c r="AL83" s="30">
        <v>0.016800000000000002</v>
      </c>
      <c r="AM83" s="30">
        <v>1.0661999999999998</v>
      </c>
      <c r="AN83" s="30">
        <v>1.0248000000000002</v>
      </c>
      <c r="AO83" s="30">
        <v>11.780496274412211</v>
      </c>
      <c r="AP83" s="30">
        <f>AN83/AJ83</f>
        <v>0.49010043041606888</v>
      </c>
      <c r="AQ83" s="30">
        <v>-2.3740707610110143</v>
      </c>
      <c r="AR83" s="45">
        <f>(AN83/AJ83)*100</f>
        <v>49.010043041606885</v>
      </c>
      <c r="AS83" s="46">
        <f>AJ83-AA83</f>
        <v>-0.035400000000000098</v>
      </c>
      <c r="AT83" s="46">
        <f>AN83-AE83</f>
        <v>0.019200000000000106</v>
      </c>
      <c r="AU83" s="30">
        <v>1.1546643406267241</v>
      </c>
      <c r="AV83" s="30">
        <v>0.42295687449305713</v>
      </c>
      <c r="AW83" s="30">
        <v>0.68265762819075515</v>
      </c>
      <c r="AX83" s="31">
        <v>0.68352656523648792</v>
      </c>
      <c r="AY83" s="30">
        <v>3.464</v>
      </c>
      <c r="AZ83" s="30">
        <v>1.5952000000000002</v>
      </c>
      <c r="BA83" s="30">
        <v>9.9502452606920055</v>
      </c>
      <c r="BB83" s="30">
        <v>2.9075577876246887</v>
      </c>
      <c r="BC83" s="39">
        <v>-2.2138054081695855</v>
      </c>
      <c r="BD83" s="30">
        <v>3.9012000000000002</v>
      </c>
      <c r="BE83" s="30">
        <v>1.8816000000000002</v>
      </c>
      <c r="BF83" s="30">
        <v>19.839061981404733</v>
      </c>
      <c r="BG83" s="30">
        <v>5.1145262791950872</v>
      </c>
      <c r="BH83" s="39">
        <v>-2.0791550581699143</v>
      </c>
      <c r="BI83" s="30">
        <v>4.1627999999999998</v>
      </c>
      <c r="BJ83" s="30">
        <v>1.9524000000000001</v>
      </c>
      <c r="BK83" s="30">
        <v>28.97023681821609</v>
      </c>
      <c r="BL83" s="30">
        <v>7.0204640576421102</v>
      </c>
      <c r="BM83" s="39">
        <v>-2.195926680408971</v>
      </c>
      <c r="BN83" s="30">
        <v>5.6412000000000004</v>
      </c>
      <c r="BO83" s="30">
        <v>2.6880000000000002</v>
      </c>
      <c r="BP83" s="30">
        <v>38.747963623129614</v>
      </c>
      <c r="BQ83" s="30">
        <v>7.0000257023267949</v>
      </c>
      <c r="BR83" s="39">
        <v>-2.223834443122481</v>
      </c>
      <c r="BS83" s="30">
        <v>6.1620000000000008</v>
      </c>
      <c r="BT83" s="30">
        <v>2.7492000000000001</v>
      </c>
      <c r="BU83" s="30">
        <v>48.064827102540747</v>
      </c>
      <c r="BV83" s="30">
        <v>7.9062969701072543</v>
      </c>
      <c r="BW83" s="39">
        <v>-2.0595952040410426</v>
      </c>
      <c r="BX83" s="49">
        <v>-0.18006631267201983</v>
      </c>
      <c r="BY83" s="49">
        <v>1.8282605306215851</v>
      </c>
      <c r="BZ83" s="49">
        <v>0.10386510607407784</v>
      </c>
      <c r="CA83" s="30">
        <v>0.79425000000000012</v>
      </c>
      <c r="CB83" s="30">
        <v>0.46950000000000003</v>
      </c>
      <c r="CC83" s="30">
        <v>0.32474999999999998</v>
      </c>
      <c r="CD83" s="30">
        <v>9.1880971909669427</v>
      </c>
      <c r="CE83" s="30">
        <v>19.687812641711108</v>
      </c>
      <c r="CF83" s="30">
        <v>0.039750000000000008</v>
      </c>
      <c r="CG83" s="30">
        <v>3.1944818997726294</v>
      </c>
      <c r="CH83" s="30">
        <v>0.2505</v>
      </c>
      <c r="CI83" s="30">
        <v>0.079500000000000001</v>
      </c>
      <c r="CJ83" s="30">
        <v>0.21900000000000003</v>
      </c>
      <c r="CK83" s="30">
        <v>53.513754876784652</v>
      </c>
      <c r="CL83" s="30">
        <v>17.024769421225784</v>
      </c>
      <c r="CM83" s="30">
        <v>46.486245123215348</v>
      </c>
      <c r="CN83" s="30">
        <v>-1.5258629834151631</v>
      </c>
      <c r="CO83" s="30">
        <v>-1.4977177753416044</v>
      </c>
      <c r="CP83" s="30">
        <v>0.093269445154371466</v>
      </c>
      <c r="CQ83" s="31">
        <v>0</v>
      </c>
      <c r="CR83" s="30">
        <v>1.528</v>
      </c>
      <c r="CS83" s="30">
        <v>0.80700000000000016</v>
      </c>
      <c r="CT83" s="30">
        <v>0.7210000000000002</v>
      </c>
      <c r="CU83" s="30">
        <v>19.430360125739853</v>
      </c>
      <c r="CV83" s="30">
        <v>29.403499769031775</v>
      </c>
      <c r="CW83" s="30">
        <v>0.048500000000000001</v>
      </c>
      <c r="CX83" s="30">
        <v>3.7947271818530615</v>
      </c>
      <c r="CY83" s="30">
        <v>0.27000000000000002</v>
      </c>
      <c r="CZ83" s="30">
        <v>0.13650000000000001</v>
      </c>
      <c r="DA83" s="30">
        <v>0.53700000000000014</v>
      </c>
      <c r="DB83" s="30">
        <v>47.898981026720364</v>
      </c>
      <c r="DC83" s="30">
        <v>20.438084964268938</v>
      </c>
      <c r="DD83" s="30">
        <v>52.101018973279636</v>
      </c>
      <c r="DE83" s="30">
        <v>-1.78300353244328</v>
      </c>
      <c r="DF83" s="30">
        <v>-1.4613676662923325</v>
      </c>
      <c r="DG83" s="30">
        <v>0.091427627030074829</v>
      </c>
      <c r="DH83" s="30">
        <v>0.75</v>
      </c>
      <c r="DI83" s="30">
        <v>0.82150000000000012</v>
      </c>
      <c r="DJ83" s="30">
        <v>0.48399999999999999</v>
      </c>
      <c r="DK83" s="30">
        <v>0.32950000000000002</v>
      </c>
      <c r="DL83" s="30">
        <v>8.8093355291048301</v>
      </c>
      <c r="DM83" s="30">
        <v>18.306431675642362</v>
      </c>
      <c r="DN83" s="30">
        <v>0.050000000000000003</v>
      </c>
      <c r="DO83" s="30">
        <v>5.1654890333320393</v>
      </c>
      <c r="DP83" s="30">
        <v>0.24900000000000003</v>
      </c>
      <c r="DQ83" s="30">
        <v>0.088500000000000009</v>
      </c>
      <c r="DR83" s="30">
        <v>0.252</v>
      </c>
      <c r="DS83" s="30">
        <v>50.556956933777016</v>
      </c>
      <c r="DT83" s="30">
        <v>18.023951855351889</v>
      </c>
      <c r="DU83" s="30">
        <v>49.443043066222984</v>
      </c>
      <c r="DV83" s="30">
        <v>-1.4543129401023489</v>
      </c>
      <c r="DW83" s="30">
        <v>-1.4844274072592401</v>
      </c>
      <c r="DX83" s="30">
        <v>0.073159526605669337</v>
      </c>
      <c r="DY83" s="30">
        <v>0</v>
      </c>
      <c r="DZ83" s="30">
        <v>0.88800000000000012</v>
      </c>
      <c r="EA83" s="30">
        <v>0.63200000000000001</v>
      </c>
      <c r="EB83" s="30">
        <v>0.24900000000000003</v>
      </c>
      <c r="EC83" s="30">
        <v>16.597284777696714</v>
      </c>
      <c r="ED83" s="30">
        <v>26.827661472598749</v>
      </c>
      <c r="EE83" s="30">
        <v>0.027000000000000003</v>
      </c>
      <c r="EF83" s="30">
        <v>0.33150000000000002</v>
      </c>
      <c r="EG83" s="30">
        <v>0.126</v>
      </c>
      <c r="EH83" s="30">
        <v>0.29600000000000004</v>
      </c>
      <c r="EI83" s="30">
        <v>51.875880902043697</v>
      </c>
      <c r="EJ83" s="30">
        <v>19.410676532769557</v>
      </c>
      <c r="EK83" s="30">
        <v>48.124119097956303</v>
      </c>
      <c r="EL83" s="30">
        <v>-1.4743599626407398</v>
      </c>
      <c r="EM83" s="30">
        <v>-1.5130038892737272</v>
      </c>
      <c r="EN83" s="30">
        <v>0.092049522075882462</v>
      </c>
      <c r="EO83" s="30">
        <v>0</v>
      </c>
    </row>
    <row r="84" ht="14.25">
      <c r="A84" s="42" t="s">
        <v>138</v>
      </c>
      <c r="B84" s="51">
        <v>2</v>
      </c>
      <c r="C84" s="48">
        <v>10.09</v>
      </c>
      <c r="D84" s="30">
        <v>0.41899999999999998</v>
      </c>
      <c r="E84" s="30">
        <v>0.59400000000000008</v>
      </c>
      <c r="F84" s="30">
        <v>1.0189999999999999</v>
      </c>
      <c r="G84" s="30">
        <v>0.006000000000000001</v>
      </c>
      <c r="H84" s="30">
        <v>11.043423124651868</v>
      </c>
      <c r="I84" s="30">
        <v>17.84769326903556</v>
      </c>
      <c r="J84" s="30">
        <v>0.18699999999999997</v>
      </c>
      <c r="K84" s="30">
        <v>44.84947107992528</v>
      </c>
      <c r="L84" s="30">
        <f>J84/F84</f>
        <v>0.18351324828263002</v>
      </c>
      <c r="M84" s="30">
        <v>-1.4314610934922589</v>
      </c>
      <c r="N84" s="31">
        <v>0.15647053227261776</v>
      </c>
      <c r="O84" s="30">
        <v>0.42960000000000004</v>
      </c>
      <c r="P84" s="30">
        <v>0.51839999999999997</v>
      </c>
      <c r="Q84" s="30">
        <v>0.95460000000000012</v>
      </c>
      <c r="R84" s="30">
        <v>0.0066</v>
      </c>
      <c r="S84" s="30">
        <v>10.944056986715154</v>
      </c>
      <c r="T84" s="30">
        <v>17.961606732009653</v>
      </c>
      <c r="U84" s="30">
        <v>0.20279999999999995</v>
      </c>
      <c r="V84" s="30">
        <v>47.033756682214928</v>
      </c>
      <c r="W84" s="30">
        <f>U84/Q84</f>
        <v>0.21244500314267747</v>
      </c>
      <c r="X84" s="30">
        <v>-1.4596801698239759</v>
      </c>
      <c r="Y84" s="31">
        <v>0.11310255999798775</v>
      </c>
      <c r="Z84" s="32">
        <f>F84-Q84</f>
        <v>0.064399999999999791</v>
      </c>
      <c r="AA84" s="30">
        <v>0.7717777777777779</v>
      </c>
      <c r="AB84" s="30">
        <v>1.692666666666667</v>
      </c>
      <c r="AC84" s="30">
        <v>0</v>
      </c>
      <c r="AD84" s="30">
        <v>0.44733333333333342</v>
      </c>
      <c r="AE84" s="30">
        <v>0.32444444444444437</v>
      </c>
      <c r="AF84" s="30">
        <v>11.18271216198896</v>
      </c>
      <c r="AG84" s="30">
        <f>AF84/AA84</f>
        <v>14.489549302893842</v>
      </c>
      <c r="AH84" s="30">
        <v>-2.0544369194992185</v>
      </c>
      <c r="AI84" s="44">
        <f>(AE84/AA84)*100</f>
        <v>42.038583357327944</v>
      </c>
      <c r="AJ84" s="30">
        <v>0.89700000000000024</v>
      </c>
      <c r="AK84" s="30">
        <v>1.8353999999999999</v>
      </c>
      <c r="AL84" s="30">
        <v>0.0071999999999999998</v>
      </c>
      <c r="AM84" s="30">
        <v>0.48060000000000003</v>
      </c>
      <c r="AN84" s="30">
        <v>0.41640000000000005</v>
      </c>
      <c r="AO84" s="30">
        <v>11.300204192824733</v>
      </c>
      <c r="AP84" s="30">
        <f>AN84/AJ84</f>
        <v>0.46421404682274242</v>
      </c>
      <c r="AQ84" s="30">
        <v>-2.0869582620921343</v>
      </c>
      <c r="AR84" s="45">
        <f>(AN84/AJ84)*100</f>
        <v>46.421404682274243</v>
      </c>
      <c r="AS84" s="46">
        <f>AJ84-AA84</f>
        <v>0.12522222222222235</v>
      </c>
      <c r="AT84" s="46">
        <f>AN84-AE84</f>
        <v>0.091955555555555679</v>
      </c>
      <c r="AU84" s="30">
        <v>0.66469681099814881</v>
      </c>
      <c r="AV84" s="30">
        <v>0.21816043841038729</v>
      </c>
      <c r="AW84" s="30">
        <v>0.12864166180744552</v>
      </c>
      <c r="AX84" s="31">
        <v>0.12869074919887849</v>
      </c>
      <c r="AY84" s="30">
        <v>0.89399999999999991</v>
      </c>
      <c r="AZ84" s="30">
        <v>0.40799999999999997</v>
      </c>
      <c r="BA84" s="30">
        <v>9.1611486335531502</v>
      </c>
      <c r="BB84" s="30">
        <v>10.380937039862305</v>
      </c>
      <c r="BC84" s="39">
        <v>-1.9288872640825623</v>
      </c>
      <c r="BD84" s="30">
        <v>1.8795000000000002</v>
      </c>
      <c r="BE84" s="30">
        <v>0.84000000000000008</v>
      </c>
      <c r="BF84" s="30">
        <v>19.104994565260167</v>
      </c>
      <c r="BG84" s="30">
        <v>10.822749074021013</v>
      </c>
      <c r="BH84" s="39">
        <v>-2.0724236494753843</v>
      </c>
      <c r="BI84" s="30">
        <v>1.1275999999999999</v>
      </c>
      <c r="BJ84" s="30">
        <v>0.52280000000000004</v>
      </c>
      <c r="BK84" s="30">
        <v>26.14413117193185</v>
      </c>
      <c r="BL84" s="30">
        <v>23.235355466557756</v>
      </c>
      <c r="BM84" s="39">
        <v>-1.9978594278483299</v>
      </c>
      <c r="BN84" s="30">
        <v>1.1903999999999999</v>
      </c>
      <c r="BO84" s="30">
        <v>0.54000000000000004</v>
      </c>
      <c r="BP84" s="30">
        <v>32.94140950718257</v>
      </c>
      <c r="BQ84" s="30">
        <v>27.716089033133482</v>
      </c>
      <c r="BR84" s="39">
        <v>-2.0440998365882344</v>
      </c>
      <c r="BS84" s="30">
        <v>1.6452000000000002</v>
      </c>
      <c r="BT84" s="30">
        <v>0.71520000000000006</v>
      </c>
      <c r="BU84" s="30">
        <v>45.742620030665094</v>
      </c>
      <c r="BV84" s="30">
        <v>28.211429618107285</v>
      </c>
      <c r="BW84" s="39">
        <v>-1.9880743710132567</v>
      </c>
      <c r="BX84" s="49">
        <v>0.067209467448244575</v>
      </c>
      <c r="BY84" s="49">
        <v>0.83423085760428695</v>
      </c>
      <c r="BZ84" s="49">
        <v>0.3452700732857964</v>
      </c>
      <c r="CA84" s="30">
        <v>0.99600000000000011</v>
      </c>
      <c r="CB84" s="30">
        <v>0.51450000000000007</v>
      </c>
      <c r="CC84" s="30">
        <v>0.48150000000000004</v>
      </c>
      <c r="CD84" s="30">
        <v>8.8752359771159526</v>
      </c>
      <c r="CE84" s="30">
        <v>17.453075199465516</v>
      </c>
      <c r="CF84" s="30">
        <v>0.029999999999999999</v>
      </c>
      <c r="CG84" s="30">
        <v>3.1442736537836913</v>
      </c>
      <c r="CH84" s="30">
        <v>0.26550000000000001</v>
      </c>
      <c r="CI84" s="30">
        <v>0.10200000000000001</v>
      </c>
      <c r="CJ84" s="30">
        <v>0.24900000000000003</v>
      </c>
      <c r="CK84" s="30">
        <v>51.206501831501825</v>
      </c>
      <c r="CL84" s="30">
        <v>19.739774114774114</v>
      </c>
      <c r="CM84" s="30">
        <v>48.793498168498175</v>
      </c>
      <c r="CN84" s="30">
        <v>-1.4834685331361821</v>
      </c>
      <c r="CO84" s="30">
        <v>-1.4790052572831414</v>
      </c>
      <c r="CP84" s="30">
        <v>0.096570458152420324</v>
      </c>
      <c r="CQ84" s="31">
        <v>0</v>
      </c>
      <c r="CR84" s="30">
        <v>1.1967500000000002</v>
      </c>
      <c r="CS84" s="30">
        <v>0.72300000000000009</v>
      </c>
      <c r="CT84" s="30">
        <v>0.47375</v>
      </c>
      <c r="CU84" s="30">
        <v>17.198565278302567</v>
      </c>
      <c r="CV84" s="30">
        <v>23.861011590287742</v>
      </c>
      <c r="CW84" s="30">
        <v>0.045249999999999999</v>
      </c>
      <c r="CX84" s="30">
        <v>4.0983382051056534</v>
      </c>
      <c r="CY84" s="30">
        <v>0.39600000000000002</v>
      </c>
      <c r="CZ84" s="30">
        <v>0.088500000000000009</v>
      </c>
      <c r="DA84" s="30">
        <v>0.32700000000000001</v>
      </c>
      <c r="DB84" s="30">
        <v>55.441338736777787</v>
      </c>
      <c r="DC84" s="30">
        <v>12.114445621873447</v>
      </c>
      <c r="DD84" s="30">
        <v>44.558661263222206</v>
      </c>
      <c r="DE84" s="30">
        <v>-1.5886785212174306</v>
      </c>
      <c r="DF84" s="30">
        <v>-1.6274276576115494</v>
      </c>
      <c r="DG84" s="30">
        <v>0.15362748353438316</v>
      </c>
      <c r="DH84" s="30">
        <v>0.25</v>
      </c>
      <c r="DI84" s="30">
        <v>1.149</v>
      </c>
      <c r="DJ84" s="30">
        <v>0.73799999999999999</v>
      </c>
      <c r="DK84" s="30">
        <v>0.46200000000000008</v>
      </c>
      <c r="DL84" s="30">
        <v>9.0446501699943198</v>
      </c>
      <c r="DM84" s="30">
        <v>12.257853853867351</v>
      </c>
      <c r="DN84" s="30">
        <v>0.063</v>
      </c>
      <c r="DO84" s="30">
        <v>5.1824158899180226</v>
      </c>
      <c r="DP84" s="30">
        <v>0.30600000000000005</v>
      </c>
      <c r="DQ84" s="30">
        <v>0.10500000000000001</v>
      </c>
      <c r="DR84" s="30">
        <v>0.39300000000000002</v>
      </c>
      <c r="DS84" s="30">
        <v>45.771533793898683</v>
      </c>
      <c r="DT84" s="30">
        <v>15.189550297006448</v>
      </c>
      <c r="DU84" s="30">
        <v>54.228466206101317</v>
      </c>
      <c r="DV84" s="30">
        <v>-1.5839068399362537</v>
      </c>
      <c r="DW84" s="30">
        <v>-1.5640198023369385</v>
      </c>
      <c r="DX84" s="30">
        <v>0.085023061734763164</v>
      </c>
      <c r="DY84" s="30">
        <v>0.5</v>
      </c>
      <c r="DZ84" s="30">
        <v>1.2395</v>
      </c>
      <c r="EA84" s="30">
        <v>0.754</v>
      </c>
      <c r="EB84" s="30">
        <v>0.51800000000000002</v>
      </c>
      <c r="EC84" s="30">
        <v>17.063412157412021</v>
      </c>
      <c r="ED84" s="30">
        <v>23.661325606295538</v>
      </c>
      <c r="EE84" s="30">
        <v>0.067000000000000004</v>
      </c>
      <c r="EF84" s="30">
        <v>0.29700000000000004</v>
      </c>
      <c r="EG84" s="30">
        <v>0.07350000000000001</v>
      </c>
      <c r="EH84" s="30">
        <v>0.44600000000000001</v>
      </c>
      <c r="EI84" s="30">
        <v>41.508474453233042</v>
      </c>
      <c r="EJ84" s="30">
        <v>10.655024610532843</v>
      </c>
      <c r="EK84" s="30">
        <v>58.491525546766958</v>
      </c>
      <c r="EL84" s="30">
        <v>-1.5094065875962817</v>
      </c>
      <c r="EM84" s="30">
        <v>-1.5395414921363453</v>
      </c>
      <c r="EN84" s="30">
        <v>0.1406899447040274</v>
      </c>
      <c r="EO84" s="30">
        <v>0.5</v>
      </c>
    </row>
    <row r="85" ht="14.25">
      <c r="A85" s="42" t="s">
        <v>139</v>
      </c>
      <c r="B85" s="43">
        <v>2</v>
      </c>
      <c r="C85" s="43">
        <v>10.1</v>
      </c>
      <c r="D85" s="30">
        <v>0.53400000000000003</v>
      </c>
      <c r="E85" s="30">
        <v>0.64600000000000002</v>
      </c>
      <c r="F85" s="30">
        <v>1.2190000000000001</v>
      </c>
      <c r="G85" s="30">
        <v>0.039</v>
      </c>
      <c r="H85" s="30">
        <v>10.931128081693737</v>
      </c>
      <c r="I85" s="30">
        <v>17.824185481607532</v>
      </c>
      <c r="J85" s="30">
        <v>0.22999999999999998</v>
      </c>
      <c r="K85" s="30">
        <v>43.030496093554831</v>
      </c>
      <c r="L85" s="30">
        <f>J85/F85</f>
        <v>0.18867924528301885</v>
      </c>
      <c r="M85" s="30">
        <v>-1.4676182178704114</v>
      </c>
      <c r="N85" s="31">
        <v>0.16995326172305267</v>
      </c>
      <c r="O85" s="30">
        <v>0.5</v>
      </c>
      <c r="P85" s="30">
        <v>0.57200000000000006</v>
      </c>
      <c r="Q85" s="30">
        <v>1.0766666666666667</v>
      </c>
      <c r="R85" s="30">
        <v>0.0046666666666666671</v>
      </c>
      <c r="S85" s="30">
        <v>10.48661527781799</v>
      </c>
      <c r="T85" s="30">
        <v>17.51828015573723</v>
      </c>
      <c r="U85" s="30">
        <v>0.21000000000000002</v>
      </c>
      <c r="V85" s="30">
        <v>42.185184816115878</v>
      </c>
      <c r="W85" s="30">
        <f>U85/Q85</f>
        <v>0.195046439628483</v>
      </c>
      <c r="X85" s="30">
        <v>-1.4647189133921967</v>
      </c>
      <c r="Y85" s="31">
        <v>0.15259797792692104</v>
      </c>
      <c r="Z85" s="32">
        <f>F85-Q85</f>
        <v>0.14233333333333342</v>
      </c>
      <c r="AA85" s="30">
        <v>2.0028000000000001</v>
      </c>
      <c r="AB85" s="30">
        <v>4.0655999999999999</v>
      </c>
      <c r="AC85" s="30">
        <v>0.022800000000000001</v>
      </c>
      <c r="AD85" s="30">
        <v>1.0884</v>
      </c>
      <c r="AE85" s="30">
        <v>0.91439999999999999</v>
      </c>
      <c r="AF85" s="30">
        <v>12.202806538790995</v>
      </c>
      <c r="AG85" s="30">
        <f>AF85/AA85</f>
        <v>6.0928732468499067</v>
      </c>
      <c r="AH85" s="30">
        <v>-2.3255629313138999</v>
      </c>
      <c r="AI85" s="44">
        <f>(AE85/AA85)*100</f>
        <v>45.656081485919707</v>
      </c>
      <c r="AJ85" s="30">
        <v>1.6398000000000004</v>
      </c>
      <c r="AK85" s="30">
        <v>3.0384000000000002</v>
      </c>
      <c r="AL85" s="30">
        <v>0.016200000000000003</v>
      </c>
      <c r="AM85" s="30">
        <v>0.86940000000000006</v>
      </c>
      <c r="AN85" s="30">
        <v>0.77039999999999997</v>
      </c>
      <c r="AO85" s="30">
        <v>12.231610771202977</v>
      </c>
      <c r="AP85" s="30">
        <f>AN85/AJ85</f>
        <v>0.46981339187705806</v>
      </c>
      <c r="AQ85" s="30">
        <v>-2.2108774527796502</v>
      </c>
      <c r="AR85" s="45">
        <f>(AN85/AJ85)*100</f>
        <v>46.981339187705807</v>
      </c>
      <c r="AS85" s="46">
        <f>AJ85-AA85</f>
        <v>-0.36299999999999977</v>
      </c>
      <c r="AT85" s="46">
        <f>AN85-AE85</f>
        <v>-0.14400000000000002</v>
      </c>
      <c r="AU85" s="30">
        <v>0.54602057108146029</v>
      </c>
      <c r="AV85" s="30">
        <v>0.58928993016765174</v>
      </c>
      <c r="AW85" s="30">
        <v>0.30103679969890607</v>
      </c>
      <c r="AX85" s="31">
        <v>0.30131019509913476</v>
      </c>
      <c r="AY85" s="30">
        <v>2.5374999999999996</v>
      </c>
      <c r="AZ85" s="30">
        <v>1.2875000000000001</v>
      </c>
      <c r="BA85" s="30">
        <v>9.4451840411700054</v>
      </c>
      <c r="BB85" s="30">
        <v>3.7328643199773568</v>
      </c>
      <c r="BC85" s="39">
        <v>-2.4029493639532657</v>
      </c>
      <c r="BD85" s="30">
        <v>2.7528000000000001</v>
      </c>
      <c r="BE85" s="30">
        <v>1.4352</v>
      </c>
      <c r="BF85" s="30">
        <v>19.617071984993196</v>
      </c>
      <c r="BG85" s="30">
        <v>7.5611222213749656</v>
      </c>
      <c r="BH85" s="39">
        <v>-2.2851145228569649</v>
      </c>
      <c r="BI85" s="30">
        <v>3.4296000000000006</v>
      </c>
      <c r="BJ85" s="30">
        <v>1.5791999999999999</v>
      </c>
      <c r="BK85" s="30">
        <v>27.585853761345732</v>
      </c>
      <c r="BL85" s="30">
        <v>8.7386953731902697</v>
      </c>
      <c r="BM85" s="39">
        <v>-2.2232558617076004</v>
      </c>
      <c r="BN85" s="30">
        <v>5.4227999999999996</v>
      </c>
      <c r="BO85" s="30">
        <v>2.8176000000000001</v>
      </c>
      <c r="BP85" s="30">
        <v>37.774475996165108</v>
      </c>
      <c r="BQ85" s="30">
        <v>7.7593995769164126</v>
      </c>
      <c r="BR85" s="39">
        <v>-2.4613862260972152</v>
      </c>
      <c r="BS85" s="30">
        <v>4.9500000000000011</v>
      </c>
      <c r="BT85" s="30">
        <v>2.2524000000000002</v>
      </c>
      <c r="BU85" s="30">
        <v>46.604066324057591</v>
      </c>
      <c r="BV85" s="30">
        <v>11.703666867470048</v>
      </c>
      <c r="BW85" s="39">
        <v>-2.2152212038795205</v>
      </c>
      <c r="BX85" s="30">
        <v>0.083900824088741541</v>
      </c>
      <c r="BY85" s="30">
        <v>0.65707575258637485</v>
      </c>
      <c r="BZ85" s="30">
        <v>0.11114532103410812</v>
      </c>
      <c r="CA85" s="30">
        <v>0.73200000000000021</v>
      </c>
      <c r="CB85" s="30">
        <v>0.49800000000000005</v>
      </c>
      <c r="CC85" s="30">
        <v>0.23399999999999999</v>
      </c>
      <c r="CD85" s="30">
        <v>8.2649796055887474</v>
      </c>
      <c r="CE85" s="30">
        <v>17.261980824612504</v>
      </c>
      <c r="CF85" s="30">
        <v>0.080000000000000002</v>
      </c>
      <c r="CG85" s="30">
        <v>3.0413427793927439</v>
      </c>
      <c r="CH85" s="30">
        <v>0.29200000000000004</v>
      </c>
      <c r="CI85" s="30">
        <v>0.124</v>
      </c>
      <c r="CJ85" s="30">
        <v>0.20599999999999999</v>
      </c>
      <c r="CK85" s="30">
        <v>58.371320037986699</v>
      </c>
      <c r="CL85" s="30">
        <v>23.795171689908532</v>
      </c>
      <c r="CM85" s="30">
        <v>41.628679962013294</v>
      </c>
      <c r="CN85" s="30">
        <v>-1.457733831188234</v>
      </c>
      <c r="CO85" s="30">
        <v>-1.4944922157019018</v>
      </c>
      <c r="CP85" s="30">
        <v>0.077817605678465185</v>
      </c>
      <c r="CQ85" s="31">
        <v>0</v>
      </c>
      <c r="CR85" s="30">
        <v>1.2915000000000001</v>
      </c>
      <c r="CS85" s="30">
        <v>0.94950000000000012</v>
      </c>
      <c r="CT85" s="30">
        <v>0.34200000000000003</v>
      </c>
      <c r="CU85" s="30">
        <v>17.089604152172139</v>
      </c>
      <c r="CV85" s="30">
        <v>18.677320999656363</v>
      </c>
      <c r="CW85" s="30">
        <v>0.043499999999999997</v>
      </c>
      <c r="CX85" s="30">
        <v>4.0735215549166401</v>
      </c>
      <c r="CY85" s="30">
        <v>0.48749999999999999</v>
      </c>
      <c r="CZ85" s="30">
        <v>0.19500000000000001</v>
      </c>
      <c r="DA85" s="30">
        <v>0.46200000000000008</v>
      </c>
      <c r="DB85" s="30">
        <v>52.17670059578311</v>
      </c>
      <c r="DC85" s="30">
        <v>21.338284825860487</v>
      </c>
      <c r="DD85" s="30">
        <v>47.823299404216897</v>
      </c>
      <c r="DE85" s="30">
        <v>-1.5776428990101641</v>
      </c>
      <c r="DF85" s="30">
        <v>-1.6696982073083357</v>
      </c>
      <c r="DG85" s="30">
        <v>0.17523982135759225</v>
      </c>
      <c r="DH85" s="30">
        <v>0.75</v>
      </c>
      <c r="DI85" s="30">
        <v>0.93000000000000005</v>
      </c>
      <c r="DJ85" s="30">
        <v>0.68400000000000005</v>
      </c>
      <c r="DK85" s="30">
        <v>0.29849999999999999</v>
      </c>
      <c r="DL85" s="30">
        <v>8.6126459776371682</v>
      </c>
      <c r="DM85" s="30">
        <v>12.974330680673114</v>
      </c>
      <c r="DN85" s="30">
        <v>0.052500000000000005</v>
      </c>
      <c r="DO85" s="30">
        <v>5.1265607107200335</v>
      </c>
      <c r="DP85" s="30">
        <v>0.27900000000000003</v>
      </c>
      <c r="DQ85" s="30">
        <v>0.11400000000000002</v>
      </c>
      <c r="DR85" s="30">
        <v>0.39000000000000007</v>
      </c>
      <c r="DS85" s="30">
        <v>44.920119730246313</v>
      </c>
      <c r="DT85" s="30">
        <v>17.653810090518949</v>
      </c>
      <c r="DU85" s="30">
        <v>55.079880269753701</v>
      </c>
      <c r="DV85" s="30">
        <v>-1.5069507218425802</v>
      </c>
      <c r="DW85" s="30">
        <v>-1.5199555797434663</v>
      </c>
      <c r="DX85" s="30">
        <v>0.10785624204339903</v>
      </c>
      <c r="DY85" s="30">
        <v>0.5</v>
      </c>
      <c r="DZ85" s="30">
        <v>1.1767500000000002</v>
      </c>
      <c r="EA85" s="30">
        <v>0.90800000000000003</v>
      </c>
      <c r="EB85" s="30">
        <v>0.31575000000000003</v>
      </c>
      <c r="EC85" s="30">
        <v>17.129797098383914</v>
      </c>
      <c r="ED85" s="30">
        <v>20.934544501518527</v>
      </c>
      <c r="EE85" s="30">
        <v>0.066750000000000004</v>
      </c>
      <c r="EF85" s="30">
        <v>0.38550000000000006</v>
      </c>
      <c r="EG85" s="30">
        <v>0.090000000000000011</v>
      </c>
      <c r="EH85" s="30">
        <v>0.50600000000000001</v>
      </c>
      <c r="EI85" s="30">
        <v>45.961032337436826</v>
      </c>
      <c r="EJ85" s="30">
        <v>10.71358284139183</v>
      </c>
      <c r="EK85" s="30">
        <v>54.038967662563167</v>
      </c>
      <c r="EL85" s="30">
        <v>-1.5336100842988056</v>
      </c>
      <c r="EM85" s="30">
        <v>-1.588406668210516</v>
      </c>
      <c r="EN85" s="30">
        <v>0.23796098450183972</v>
      </c>
      <c r="EO85" s="30">
        <v>0.5</v>
      </c>
    </row>
    <row r="86" ht="14.25">
      <c r="A86" s="42" t="s">
        <v>138</v>
      </c>
      <c r="B86" s="52">
        <v>2</v>
      </c>
      <c r="C86" s="55">
        <v>10.1</v>
      </c>
      <c r="D86" s="30">
        <v>0.47999999999999998</v>
      </c>
      <c r="E86" s="30">
        <v>0.80200000000000016</v>
      </c>
      <c r="F86" s="30">
        <v>1.3460000000000001</v>
      </c>
      <c r="G86" s="30">
        <v>0.064000000000000001</v>
      </c>
      <c r="H86" s="30">
        <v>9.5877410245219323</v>
      </c>
      <c r="I86" s="30">
        <v>17.829346743417041</v>
      </c>
      <c r="J86" s="30">
        <v>0.23999999999999999</v>
      </c>
      <c r="K86" s="30">
        <v>49.838235294117645</v>
      </c>
      <c r="L86" s="30">
        <f>J86/F86</f>
        <v>0.17830609212481424</v>
      </c>
      <c r="M86" s="30">
        <v>-1.4361820428260186</v>
      </c>
      <c r="N86" s="31">
        <v>0.17528634507471438</v>
      </c>
      <c r="O86" s="30">
        <v>0.4906666666666667</v>
      </c>
      <c r="P86" s="30">
        <v>0.64866666666666672</v>
      </c>
      <c r="Q86" s="30">
        <v>1.1393333333333335</v>
      </c>
      <c r="R86" s="30">
        <v>0</v>
      </c>
      <c r="S86" s="30">
        <v>10.054311136806213</v>
      </c>
      <c r="T86" s="30">
        <v>18.295774402687066</v>
      </c>
      <c r="U86" s="30">
        <v>0.23733333333333334</v>
      </c>
      <c r="V86" s="30">
        <v>47.863219766141619</v>
      </c>
      <c r="W86" s="30">
        <f>U86/Q86</f>
        <v>0.20830895260386187</v>
      </c>
      <c r="X86" s="30">
        <v>-1.4704396287244745</v>
      </c>
      <c r="Y86" s="31">
        <v>0.11554349843178814</v>
      </c>
      <c r="Z86" s="32">
        <f>F86-Q86</f>
        <v>0.20666666666666655</v>
      </c>
      <c r="AA86" s="30">
        <v>1.9548000000000001</v>
      </c>
      <c r="AB86" s="30">
        <v>4.2108000000000008</v>
      </c>
      <c r="AC86" s="30">
        <v>0.024</v>
      </c>
      <c r="AD86" s="30">
        <v>0.93659999999999999</v>
      </c>
      <c r="AE86" s="30">
        <v>1.0181999999999998</v>
      </c>
      <c r="AF86" s="30">
        <v>11.408801887809874</v>
      </c>
      <c r="AG86" s="30">
        <f>AF86/AA86</f>
        <v>5.8363013545170217</v>
      </c>
      <c r="AH86" s="30">
        <v>-2.1910512712391679</v>
      </c>
      <c r="AI86" s="44">
        <f>(AE86/AA86)*100</f>
        <v>52.087170042971131</v>
      </c>
      <c r="AJ86" s="30">
        <v>2.0064000000000002</v>
      </c>
      <c r="AK86" s="30">
        <v>3.7902</v>
      </c>
      <c r="AL86" s="30">
        <v>0.0246</v>
      </c>
      <c r="AM86" s="30">
        <v>0.97620000000000007</v>
      </c>
      <c r="AN86" s="30">
        <v>1.0302</v>
      </c>
      <c r="AO86" s="30">
        <v>11.486479774856077</v>
      </c>
      <c r="AP86" s="30">
        <f>AN86/AJ86</f>
        <v>0.513456937799043</v>
      </c>
      <c r="AQ86" s="30">
        <v>-2.2274446433105641</v>
      </c>
      <c r="AR86" s="45">
        <f>(AN86/AJ86)*100</f>
        <v>51.345693779904302</v>
      </c>
      <c r="AS86" s="46">
        <f>AJ86-AA86</f>
        <v>0.05160000000000009</v>
      </c>
      <c r="AT86" s="46">
        <f>AN86-AE86</f>
        <v>0.012000000000000233</v>
      </c>
      <c r="AU86" s="30">
        <v>1.3994384102669122</v>
      </c>
      <c r="AV86" s="30">
        <v>0.23600082467373326</v>
      </c>
      <c r="AW86" s="30">
        <v>0.53051790501071105</v>
      </c>
      <c r="AX86" s="31">
        <v>0.53054758239824074</v>
      </c>
      <c r="AY86" s="30">
        <v>2.4420000000000002</v>
      </c>
      <c r="AZ86" s="30">
        <v>0.91400000000000003</v>
      </c>
      <c r="BA86" s="30">
        <v>10.037695492741367</v>
      </c>
      <c r="BB86" s="30">
        <v>4.2727788670219837</v>
      </c>
      <c r="BC86" s="39">
        <v>-2.1420397804153328</v>
      </c>
      <c r="BD86" s="30">
        <v>2.8391999999999999</v>
      </c>
      <c r="BE86" s="30">
        <v>1.0944</v>
      </c>
      <c r="BF86" s="30">
        <v>19.44789059658688</v>
      </c>
      <c r="BG86" s="30">
        <v>6.8533726953755005</v>
      </c>
      <c r="BH86" s="39">
        <v>-2.1919943162065763</v>
      </c>
      <c r="BI86" s="30">
        <v>2.9880000000000004</v>
      </c>
      <c r="BJ86" s="30">
        <v>1.0931999999999999</v>
      </c>
      <c r="BK86" s="30">
        <v>28.760718793150932</v>
      </c>
      <c r="BL86" s="30">
        <v>9.8395176716679167</v>
      </c>
      <c r="BM86" s="39">
        <v>-2.1847872656442835</v>
      </c>
      <c r="BN86" s="30">
        <v>3.3720000000000008</v>
      </c>
      <c r="BO86" s="30">
        <v>1.278</v>
      </c>
      <c r="BP86" s="30">
        <v>38.076365426828673</v>
      </c>
      <c r="BQ86" s="30">
        <v>11.321244849991299</v>
      </c>
      <c r="BR86" s="39">
        <v>-2.1908216215191856</v>
      </c>
      <c r="BS86" s="30">
        <v>3.4608000000000003</v>
      </c>
      <c r="BT86" s="30">
        <v>1.5648</v>
      </c>
      <c r="BU86" s="30">
        <v>46.844683656258837</v>
      </c>
      <c r="BV86" s="30">
        <v>13.591035412637765</v>
      </c>
      <c r="BW86" s="39">
        <v>-2.145792336774385</v>
      </c>
      <c r="BX86" s="49">
        <v>0.12330781877206555</v>
      </c>
      <c r="BY86" s="49">
        <v>0.40541397052701261</v>
      </c>
      <c r="BZ86" s="49">
        <v>0.36359772347321362</v>
      </c>
      <c r="CA86" s="30">
        <v>0.76475000000000004</v>
      </c>
      <c r="CB86" s="30">
        <v>0.47099999999999997</v>
      </c>
      <c r="CC86" s="30">
        <v>0.29375000000000001</v>
      </c>
      <c r="CD86" s="30">
        <v>9.0814622962031173</v>
      </c>
      <c r="CE86" s="30">
        <v>19.378133543797045</v>
      </c>
      <c r="CF86" s="30">
        <v>0.069250000000000006</v>
      </c>
      <c r="CG86" s="30">
        <v>3.1780003523667939</v>
      </c>
      <c r="CH86" s="30">
        <v>0.21450000000000005</v>
      </c>
      <c r="CI86" s="30">
        <v>0.083999999999999991</v>
      </c>
      <c r="CJ86" s="30">
        <v>0.25650000000000001</v>
      </c>
      <c r="CK86" s="30">
        <v>45.743485350355414</v>
      </c>
      <c r="CL86" s="30">
        <v>17.894344444719309</v>
      </c>
      <c r="CM86" s="30">
        <v>54.256514649644586</v>
      </c>
      <c r="CN86" s="30">
        <v>-1.4089776540677843</v>
      </c>
      <c r="CO86" s="30">
        <v>-1.4272516844124215</v>
      </c>
      <c r="CP86" s="30">
        <v>0.060814177325561568</v>
      </c>
      <c r="CQ86" s="31">
        <v>0</v>
      </c>
      <c r="CR86" s="30">
        <v>0.96250000000000013</v>
      </c>
      <c r="CS86" s="30">
        <v>0.61349999999999993</v>
      </c>
      <c r="CT86" s="30">
        <v>0.34899999999999998</v>
      </c>
      <c r="CU86" s="30">
        <v>17.135515059307657</v>
      </c>
      <c r="CV86" s="30">
        <v>28.106977412547799</v>
      </c>
      <c r="CW86" s="30">
        <v>0.063500000000000001</v>
      </c>
      <c r="CX86" s="30">
        <v>4.0962053701618704</v>
      </c>
      <c r="CY86" s="30">
        <v>0.27600000000000002</v>
      </c>
      <c r="CZ86" s="30">
        <v>0.11100000000000002</v>
      </c>
      <c r="DA86" s="30">
        <v>0.33750000000000002</v>
      </c>
      <c r="DB86" s="30">
        <v>45.098571107468949</v>
      </c>
      <c r="DC86" s="30">
        <v>18.234326508227056</v>
      </c>
      <c r="DD86" s="30">
        <v>54.901428892531044</v>
      </c>
      <c r="DE86" s="30">
        <v>-1.4306664948624701</v>
      </c>
      <c r="DF86" s="30">
        <v>-1.5076154086755202</v>
      </c>
      <c r="DG86" s="30">
        <v>0.098021452878505708</v>
      </c>
      <c r="DH86" s="30">
        <v>0</v>
      </c>
      <c r="DI86" s="30">
        <v>1.0210000000000001</v>
      </c>
      <c r="DJ86" s="30">
        <v>0.60599999999999998</v>
      </c>
      <c r="DK86" s="30">
        <v>0.4405</v>
      </c>
      <c r="DL86" s="30">
        <v>8.8444866624949032</v>
      </c>
      <c r="DM86" s="30">
        <v>15.116944380670382</v>
      </c>
      <c r="DN86" s="30">
        <v>0.0395</v>
      </c>
      <c r="DO86" s="30">
        <v>5.1409318009491933</v>
      </c>
      <c r="DP86" s="30">
        <v>0.24900000000000003</v>
      </c>
      <c r="DQ86" s="30">
        <v>0.099000000000000019</v>
      </c>
      <c r="DR86" s="30">
        <v>0.34800000000000003</v>
      </c>
      <c r="DS86" s="30">
        <v>44.138288556227486</v>
      </c>
      <c r="DT86" s="30">
        <v>17.156984237136911</v>
      </c>
      <c r="DU86" s="30">
        <v>55.861711443772514</v>
      </c>
      <c r="DV86" s="30">
        <v>-1.4197491101271003</v>
      </c>
      <c r="DW86" s="30">
        <v>-1.461789902194464</v>
      </c>
      <c r="DX86" s="30">
        <v>0.072119383673222751</v>
      </c>
      <c r="DY86" s="30">
        <v>0.75</v>
      </c>
      <c r="DZ86" s="30">
        <v>1.159</v>
      </c>
      <c r="EA86" s="30">
        <v>1.3800000000000001</v>
      </c>
      <c r="EB86" s="30">
        <v>0.32050000000000001</v>
      </c>
      <c r="EC86" s="30">
        <v>18.287114097249663</v>
      </c>
      <c r="ED86" s="30">
        <v>13.25153195452874</v>
      </c>
      <c r="EE86" s="30">
        <v>0.066500000000000004</v>
      </c>
      <c r="EF86" s="30">
        <v>0.28650000000000003</v>
      </c>
      <c r="EG86" s="30">
        <v>0.084000000000000019</v>
      </c>
      <c r="EH86" s="30">
        <v>1.0920000000000001</v>
      </c>
      <c r="EI86" s="30">
        <v>38.073375671714707</v>
      </c>
      <c r="EJ86" s="30">
        <v>11.304787493893503</v>
      </c>
      <c r="EK86" s="30">
        <v>61.926624328285286</v>
      </c>
      <c r="EL86" s="30">
        <v>-1.4114928968232952</v>
      </c>
      <c r="EM86" s="30">
        <v>-1.5211835284965076</v>
      </c>
      <c r="EN86" s="30">
        <v>0.16383462378028726</v>
      </c>
      <c r="EO86" s="30">
        <v>1</v>
      </c>
    </row>
    <row r="87" ht="14.25">
      <c r="A87" s="42" t="s">
        <v>138</v>
      </c>
      <c r="B87" s="52">
        <v>2</v>
      </c>
      <c r="C87" s="55">
        <v>10.109999999999999</v>
      </c>
      <c r="D87" s="30">
        <v>1.0002000000000002</v>
      </c>
      <c r="E87" s="30">
        <v>1.1892000000000003</v>
      </c>
      <c r="F87" s="30">
        <v>2.2692000000000005</v>
      </c>
      <c r="G87" s="30">
        <v>0.07980000000000001</v>
      </c>
      <c r="H87" s="30">
        <v>10.539301378146707</v>
      </c>
      <c r="I87" s="30">
        <v>17.809617835559926</v>
      </c>
      <c r="J87" s="30">
        <v>0.55020000000000002</v>
      </c>
      <c r="K87" s="30">
        <v>52.932621175540852</v>
      </c>
      <c r="L87" s="30">
        <f>J87/F87</f>
        <v>0.24246430460074031</v>
      </c>
      <c r="M87" s="30">
        <v>-1.5882454492786922</v>
      </c>
      <c r="N87" s="31">
        <v>0.18306676275775174</v>
      </c>
      <c r="O87" s="30">
        <v>0.95933333333333337</v>
      </c>
      <c r="P87" s="30">
        <v>1.1526666666666667</v>
      </c>
      <c r="Q87" s="30">
        <v>2.1666666666666665</v>
      </c>
      <c r="R87" s="30">
        <v>0.054666666666666669</v>
      </c>
      <c r="S87" s="30">
        <v>10.515968041904873</v>
      </c>
      <c r="T87" s="30">
        <v>17.700243586630194</v>
      </c>
      <c r="U87" s="30">
        <v>0.56133333333333324</v>
      </c>
      <c r="V87" s="30">
        <v>57.542844832050577</v>
      </c>
      <c r="W87" s="30">
        <f>U87/Q87</f>
        <v>0.25907692307692304</v>
      </c>
      <c r="X87" s="30">
        <v>-1.5685724752551851</v>
      </c>
      <c r="Y87" s="31">
        <v>0.14503485276839417</v>
      </c>
      <c r="Z87" s="32">
        <f>F87-Q87</f>
        <v>0.10253333333333403</v>
      </c>
      <c r="AA87" s="30">
        <v>1.5315000000000001</v>
      </c>
      <c r="AB87" s="30">
        <v>3.0952500000000005</v>
      </c>
      <c r="AC87" s="30">
        <v>0.021000000000000001</v>
      </c>
      <c r="AD87" s="30">
        <v>0.75450000000000006</v>
      </c>
      <c r="AE87" s="30">
        <v>0.77700000000000002</v>
      </c>
      <c r="AF87" s="30">
        <v>11.39079281864745</v>
      </c>
      <c r="AG87" s="30">
        <f>AF87/AA87</f>
        <v>7.437670792456708</v>
      </c>
      <c r="AH87" s="30">
        <v>-2.0985498324979552</v>
      </c>
      <c r="AI87" s="44">
        <f>(AE87/AA87)*100</f>
        <v>50.734573947110675</v>
      </c>
      <c r="AJ87" s="30">
        <v>1.7687999999999999</v>
      </c>
      <c r="AK87" s="30">
        <v>3.5664000000000002</v>
      </c>
      <c r="AL87" s="30">
        <v>0.019800000000000005</v>
      </c>
      <c r="AM87" s="30">
        <v>0.92460000000000009</v>
      </c>
      <c r="AN87" s="30">
        <v>0.84420000000000006</v>
      </c>
      <c r="AO87" s="30">
        <v>11.785652328064113</v>
      </c>
      <c r="AP87" s="30">
        <f>AN87/AJ87</f>
        <v>0.47727272727272735</v>
      </c>
      <c r="AQ87" s="30">
        <v>-2.1747279215233961</v>
      </c>
      <c r="AR87" s="45">
        <f>(AN87/AJ87)*100</f>
        <v>47.727272727272734</v>
      </c>
      <c r="AS87" s="46">
        <f>AJ87-AA87</f>
        <v>0.23729999999999984</v>
      </c>
      <c r="AT87" s="46">
        <f>AN87-AE87</f>
        <v>0.067200000000000037</v>
      </c>
      <c r="AU87" s="30">
        <v>0.6366073459092626</v>
      </c>
      <c r="AV87" s="30">
        <v>0.37019913969730495</v>
      </c>
      <c r="AW87" s="30">
        <v>0.36983585732248636</v>
      </c>
      <c r="AX87" s="31">
        <v>0.36995810157031594</v>
      </c>
      <c r="AY87" s="30">
        <v>1.3648</v>
      </c>
      <c r="AZ87" s="30">
        <v>0.67480000000000007</v>
      </c>
      <c r="BA87" s="30">
        <v>9.2329612899419384</v>
      </c>
      <c r="BB87" s="30">
        <v>7.2114780061382886</v>
      </c>
      <c r="BC87" s="39">
        <v>-1.9403757895972173</v>
      </c>
      <c r="BD87" s="30">
        <v>1.9750000000000001</v>
      </c>
      <c r="BE87" s="30">
        <v>1.0098</v>
      </c>
      <c r="BF87" s="30">
        <v>18.127907064620267</v>
      </c>
      <c r="BG87" s="30">
        <v>9.3311363385982879</v>
      </c>
      <c r="BH87" s="39">
        <v>-2.0676955073496308</v>
      </c>
      <c r="BI87" s="30">
        <v>2.2202000000000002</v>
      </c>
      <c r="BJ87" s="30">
        <v>1.0404</v>
      </c>
      <c r="BK87" s="30">
        <v>28.170714468219906</v>
      </c>
      <c r="BL87" s="30">
        <v>13.189060235954196</v>
      </c>
      <c r="BM87" s="39">
        <v>-2.135141124549587</v>
      </c>
      <c r="BN87" s="30">
        <v>2.6775000000000002</v>
      </c>
      <c r="BO87" s="30">
        <v>1.2990000000000002</v>
      </c>
      <c r="BP87" s="30">
        <v>37.224442227364811</v>
      </c>
      <c r="BQ87" s="30">
        <v>16.093399548593659</v>
      </c>
      <c r="BR87" s="39">
        <v>-2.143820190662904</v>
      </c>
      <c r="BS87" s="30">
        <v>2.3328000000000002</v>
      </c>
      <c r="BT87" s="30">
        <v>1.2876000000000001</v>
      </c>
      <c r="BU87" s="30">
        <v>44.776868508637222</v>
      </c>
      <c r="BV87" s="30">
        <v>19.634130284751247</v>
      </c>
      <c r="BW87" s="39">
        <v>-1.9361828344453411</v>
      </c>
      <c r="BX87" s="49">
        <v>0.21135491331179901</v>
      </c>
      <c r="BY87" s="49">
        <v>0.56469381165398769</v>
      </c>
      <c r="BZ87" s="49">
        <v>0.40749845220938108</v>
      </c>
      <c r="CA87" s="30">
        <v>1.2557499999999999</v>
      </c>
      <c r="CB87" s="30">
        <v>0.76150000000000007</v>
      </c>
      <c r="CC87" s="30">
        <v>0.49424999999999997</v>
      </c>
      <c r="CD87" s="30">
        <v>8.9630568886162187</v>
      </c>
      <c r="CE87" s="30">
        <v>11.904045127088065</v>
      </c>
      <c r="CF87" s="30">
        <v>0.043749999999999997</v>
      </c>
      <c r="CG87" s="30">
        <v>3.1572140876900829</v>
      </c>
      <c r="CH87" s="30">
        <v>0.31824999999999998</v>
      </c>
      <c r="CI87" s="30">
        <v>0.18525</v>
      </c>
      <c r="CJ87" s="30">
        <v>0.44325000000000003</v>
      </c>
      <c r="CK87" s="30">
        <v>43.140679025715521</v>
      </c>
      <c r="CL87" s="30">
        <v>25.158699572933148</v>
      </c>
      <c r="CM87" s="30">
        <v>56.859320974284479</v>
      </c>
      <c r="CN87" s="30">
        <v>-1.4721614039393036</v>
      </c>
      <c r="CO87" s="30">
        <v>-1.50250206025399</v>
      </c>
      <c r="CP87" s="30">
        <v>0.08519936715991247</v>
      </c>
      <c r="CQ87" s="31">
        <v>0.5</v>
      </c>
      <c r="CR87" s="30">
        <v>1.5277500000000002</v>
      </c>
      <c r="CS87" s="30">
        <v>1.0245000000000002</v>
      </c>
      <c r="CT87" s="30">
        <v>0.50325000000000009</v>
      </c>
      <c r="CU87" s="30">
        <v>16.948030835193155</v>
      </c>
      <c r="CV87" s="30">
        <v>16.608746843996819</v>
      </c>
      <c r="CW87" s="30">
        <v>0.04725</v>
      </c>
      <c r="CX87" s="30">
        <v>4.0762902467493412</v>
      </c>
      <c r="CY87" s="30">
        <v>0.3795</v>
      </c>
      <c r="CZ87" s="30">
        <v>0.10350000000000001</v>
      </c>
      <c r="DA87" s="30">
        <v>0.64500000000000002</v>
      </c>
      <c r="DB87" s="30">
        <v>36.995522630226247</v>
      </c>
      <c r="DC87" s="30">
        <v>10.188462671635401</v>
      </c>
      <c r="DD87" s="30">
        <v>63.00447736977376</v>
      </c>
      <c r="DE87" s="30">
        <v>-1.5494262548713789</v>
      </c>
      <c r="DF87" s="30">
        <v>-1.6395265957984069</v>
      </c>
      <c r="DG87" s="30">
        <v>0.18766882626781181</v>
      </c>
      <c r="DH87" s="30">
        <v>1.25</v>
      </c>
      <c r="DI87" s="30">
        <v>1.3467500000000001</v>
      </c>
      <c r="DJ87" s="30">
        <v>1.0470000000000002</v>
      </c>
      <c r="DK87" s="30">
        <v>0.29975000000000002</v>
      </c>
      <c r="DL87" s="30">
        <v>9.0275524963867273</v>
      </c>
      <c r="DM87" s="30">
        <v>9.2451456756286312</v>
      </c>
      <c r="DN87" s="30">
        <v>0.058750000000000004</v>
      </c>
      <c r="DO87" s="30">
        <v>5.1660230017284041</v>
      </c>
      <c r="DP87" s="30">
        <v>0.46200000000000002</v>
      </c>
      <c r="DQ87" s="30">
        <v>0.094500000000000015</v>
      </c>
      <c r="DR87" s="30">
        <v>0.58499999999999996</v>
      </c>
      <c r="DS87" s="30">
        <v>42.28449737501137</v>
      </c>
      <c r="DT87" s="30">
        <v>10.377979486860321</v>
      </c>
      <c r="DU87" s="30">
        <v>57.71550262498863</v>
      </c>
      <c r="DV87" s="30">
        <v>-1.5639110806665575</v>
      </c>
      <c r="DW87" s="30">
        <v>-1.7646553839805557</v>
      </c>
      <c r="DX87" s="30">
        <v>0.072250181526376384</v>
      </c>
      <c r="DY87" s="30">
        <v>1</v>
      </c>
      <c r="DZ87" s="30">
        <v>2.0332500000000002</v>
      </c>
      <c r="EA87" s="30">
        <v>1.3425</v>
      </c>
      <c r="EB87" s="30">
        <v>0.69075000000000009</v>
      </c>
      <c r="EC87" s="30">
        <v>17.036138139988559</v>
      </c>
      <c r="ED87" s="30">
        <v>13.701500404402548</v>
      </c>
      <c r="EE87" s="30">
        <v>0.057750000000000003</v>
      </c>
      <c r="EF87" s="30">
        <v>0.43950000000000006</v>
      </c>
      <c r="EG87" s="30">
        <v>0.21300000000000002</v>
      </c>
      <c r="EH87" s="30">
        <v>0.90300000000000014</v>
      </c>
      <c r="EI87" s="30">
        <v>33.561419061374245</v>
      </c>
      <c r="EJ87" s="30">
        <v>15.025135298902669</v>
      </c>
      <c r="EK87" s="30">
        <v>66.438580938625762</v>
      </c>
      <c r="EL87" s="30">
        <v>-1.5892056618390302</v>
      </c>
      <c r="EM87" s="30">
        <v>-1.6282421775083247</v>
      </c>
      <c r="EN87" s="30">
        <v>0.14028265127200659</v>
      </c>
      <c r="EO87" s="30">
        <v>1.5</v>
      </c>
    </row>
    <row r="88" ht="14.25">
      <c r="A88" s="52" t="s">
        <v>138</v>
      </c>
      <c r="B88" s="52">
        <v>2</v>
      </c>
      <c r="C88" s="61">
        <v>11</v>
      </c>
      <c r="D88" s="30">
        <v>0.41880000000000006</v>
      </c>
      <c r="E88" s="30">
        <v>0.71520000000000006</v>
      </c>
      <c r="F88" s="30">
        <v>1.1544000000000001</v>
      </c>
      <c r="G88" s="30">
        <v>0.020400000000000001</v>
      </c>
      <c r="H88" s="30">
        <v>11.366818549271773</v>
      </c>
      <c r="I88" s="30">
        <v>17.646813448106993</v>
      </c>
      <c r="J88" s="30">
        <v>0.18360000000000001</v>
      </c>
      <c r="K88" s="30">
        <v>43.813098083712227</v>
      </c>
      <c r="L88" s="30">
        <f>J88/F88</f>
        <v>0.15904365904365905</v>
      </c>
      <c r="M88" s="30">
        <v>-1.4141547250673305</v>
      </c>
      <c r="N88" s="31">
        <v>0.17381590794121471</v>
      </c>
      <c r="O88" s="30">
        <v>0.42599999999999993</v>
      </c>
      <c r="P88" s="30">
        <v>0.58866666666666678</v>
      </c>
      <c r="Q88" s="30">
        <v>1.0213333333333334</v>
      </c>
      <c r="R88" s="30">
        <v>0.0066666666666666671</v>
      </c>
      <c r="S88" s="30">
        <v>10.804253262606283</v>
      </c>
      <c r="T88" s="30">
        <v>18.371262879143654</v>
      </c>
      <c r="U88" s="30">
        <v>0.188</v>
      </c>
      <c r="V88" s="30">
        <v>43.606316937825078</v>
      </c>
      <c r="W88" s="30">
        <f>U88/Q88</f>
        <v>0.18407310704960833</v>
      </c>
      <c r="X88" s="30">
        <v>-1.4503350200215441</v>
      </c>
      <c r="Y88" s="31">
        <v>0.1627138485199548</v>
      </c>
      <c r="Z88" s="32">
        <f>F88-Q88</f>
        <v>0.13306666666666667</v>
      </c>
      <c r="AA88" s="30">
        <v>1.2809999999999999</v>
      </c>
      <c r="AB88" s="30">
        <v>2.3050000000000002</v>
      </c>
      <c r="AC88" s="30">
        <v>0.011000000000000001</v>
      </c>
      <c r="AD88" s="30">
        <v>0.65300000000000002</v>
      </c>
      <c r="AE88" s="30">
        <v>0.628</v>
      </c>
      <c r="AF88" s="30">
        <v>12.159294434790212</v>
      </c>
      <c r="AG88" s="30">
        <f>AF88/AA88</f>
        <v>9.4920331262999316</v>
      </c>
      <c r="AH88" s="30">
        <v>-2.3114995627783208</v>
      </c>
      <c r="AI88" s="44">
        <f>(AE88/AA88)*100</f>
        <v>49.024199843871976</v>
      </c>
      <c r="AJ88" s="30">
        <v>0.91628571428571437</v>
      </c>
      <c r="AK88" s="30">
        <v>1.6945714285714288</v>
      </c>
      <c r="AL88" s="30">
        <v>0.0068571428571428559</v>
      </c>
      <c r="AM88" s="30">
        <v>0.47314285714285714</v>
      </c>
      <c r="AN88" s="30">
        <v>0.44314285714285717</v>
      </c>
      <c r="AO88" s="30">
        <v>11.864660920011961</v>
      </c>
      <c r="AP88" s="30">
        <f>AN88/AJ88</f>
        <v>0.4836295603367633</v>
      </c>
      <c r="AQ88" s="30">
        <v>-2.1342405413834569</v>
      </c>
      <c r="AR88" s="45">
        <f>(AN88/AJ88)*100</f>
        <v>48.362956033676326</v>
      </c>
      <c r="AS88" s="46">
        <f>AJ88-AA88</f>
        <v>-0.36471428571428555</v>
      </c>
      <c r="AT88" s="46">
        <f>AN88-AE88</f>
        <v>-0.18485714285714283</v>
      </c>
      <c r="AU88" s="30">
        <v>9.3439809920605637</v>
      </c>
      <c r="AV88" s="30">
        <v>-0.31647022940135539</v>
      </c>
      <c r="AW88" s="30">
        <v>1</v>
      </c>
      <c r="AX88" s="31">
        <v>1</v>
      </c>
      <c r="AY88" s="30"/>
      <c r="AZ88" s="30"/>
      <c r="BA88" s="30"/>
      <c r="BB88" s="30"/>
      <c r="BC88" s="39"/>
      <c r="BD88" s="30">
        <v>3.8760000000000003</v>
      </c>
      <c r="BE88" s="30">
        <v>1.6620000000000001</v>
      </c>
      <c r="BF88" s="30">
        <v>16.126227653316644</v>
      </c>
      <c r="BG88" s="30">
        <v>4.1605334502880913</v>
      </c>
      <c r="BH88" s="39">
        <v>-2.8293236332692273</v>
      </c>
      <c r="BI88" s="30"/>
      <c r="BJ88" s="30"/>
      <c r="BK88" s="30"/>
      <c r="BL88" s="30"/>
      <c r="BM88" s="39"/>
      <c r="BN88" s="30">
        <v>3.0900000000000003</v>
      </c>
      <c r="BO88" s="30">
        <v>1.518</v>
      </c>
      <c r="BP88" s="30">
        <v>33.002163870539071</v>
      </c>
      <c r="BQ88" s="30">
        <v>10.680311932213291</v>
      </c>
      <c r="BR88" s="39">
        <v>-2.4005520840502981</v>
      </c>
      <c r="BS88" s="30"/>
      <c r="BT88" s="30"/>
      <c r="BU88" s="30"/>
      <c r="BV88" s="30"/>
      <c r="BW88" s="39"/>
      <c r="BX88" s="49">
        <v>0.04713626261998425</v>
      </c>
      <c r="BY88" s="49">
        <v>0.59958027487721688</v>
      </c>
      <c r="BZ88" s="49">
        <v>0.21106008006414234</v>
      </c>
      <c r="CA88" s="30">
        <v>0.66100000000000003</v>
      </c>
      <c r="CB88" s="30"/>
      <c r="CC88" s="30">
        <v>0.15100000000000002</v>
      </c>
      <c r="CD88" s="30"/>
      <c r="CE88" s="30"/>
      <c r="CF88" s="30">
        <v>0.049500000000000002</v>
      </c>
      <c r="CG88" s="30">
        <v>3.3101469153040632</v>
      </c>
      <c r="CH88" s="30">
        <v>0.29400000000000004</v>
      </c>
      <c r="CI88" s="30">
        <v>0.10800000000000001</v>
      </c>
      <c r="CJ88" s="30"/>
      <c r="CK88" s="30">
        <v>57.64705882352942</v>
      </c>
      <c r="CL88" s="30">
        <v>21.176470588235293</v>
      </c>
      <c r="CM88" s="30">
        <v>42.35294117647058</v>
      </c>
      <c r="CN88" s="30">
        <v>-1.467205905253222</v>
      </c>
      <c r="CO88" s="30">
        <v>-1.5002976510514168</v>
      </c>
      <c r="CP88" s="30">
        <v>0.061913741051816226</v>
      </c>
      <c r="CQ88" s="31">
        <v>0</v>
      </c>
      <c r="CR88" s="30">
        <v>0.94000000000000006</v>
      </c>
      <c r="CS88" s="30">
        <v>0.64800000000000002</v>
      </c>
      <c r="CT88" s="30">
        <v>0.29200000000000004</v>
      </c>
      <c r="CU88" s="30">
        <v>17.891092142894902</v>
      </c>
      <c r="CV88" s="30">
        <v>27.609710097060031</v>
      </c>
      <c r="CW88" s="30">
        <v>0.043999999999999997</v>
      </c>
      <c r="CX88" s="30">
        <v>4.1555894171939451</v>
      </c>
      <c r="CY88" s="30">
        <v>0.32400000000000001</v>
      </c>
      <c r="CZ88" s="30">
        <v>0.18000000000000002</v>
      </c>
      <c r="DA88" s="30">
        <v>0.32400000000000001</v>
      </c>
      <c r="DB88" s="30">
        <v>49.999999999999993</v>
      </c>
      <c r="DC88" s="30">
        <v>27.777777777777782</v>
      </c>
      <c r="DD88" s="30">
        <v>49.999999999999993</v>
      </c>
      <c r="DE88" s="30">
        <v>-1.4049755668959447</v>
      </c>
      <c r="DF88" s="30">
        <v>-1.472413706422127</v>
      </c>
      <c r="DG88" s="30">
        <v>0.130730515251927</v>
      </c>
      <c r="DH88" s="30">
        <v>0</v>
      </c>
      <c r="DI88" s="30">
        <v>0.83099999999999996</v>
      </c>
      <c r="DJ88" s="30"/>
      <c r="DK88" s="30">
        <v>0.26700000000000002</v>
      </c>
      <c r="DL88" s="30"/>
      <c r="DM88" s="30"/>
      <c r="DN88" s="30">
        <v>0.041999999999999996</v>
      </c>
      <c r="DO88" s="30">
        <v>5.19861542482621</v>
      </c>
      <c r="DP88" s="30">
        <v>0.22800000000000001</v>
      </c>
      <c r="DQ88" s="30">
        <v>0.090000000000000011</v>
      </c>
      <c r="DR88" s="30"/>
      <c r="DS88" s="30">
        <v>41.002747252747255</v>
      </c>
      <c r="DT88" s="30">
        <v>16.025641025641026</v>
      </c>
      <c r="DU88" s="30">
        <v>58.997252747252752</v>
      </c>
      <c r="DV88" s="30">
        <v>-1.4098547399245416</v>
      </c>
      <c r="DW88" s="30">
        <v>-1.4525342645775083</v>
      </c>
      <c r="DX88" s="30">
        <v>0.21540167492958587</v>
      </c>
      <c r="DY88" s="30">
        <v>0</v>
      </c>
      <c r="DZ88" s="30">
        <v>0.85799999999999998</v>
      </c>
      <c r="EA88" s="30"/>
      <c r="EB88" s="30">
        <v>0.312</v>
      </c>
      <c r="EC88" s="30"/>
      <c r="ED88" s="30"/>
      <c r="EE88" s="30">
        <v>0.051250000000000004</v>
      </c>
      <c r="EF88" s="30">
        <v>0.26400000000000001</v>
      </c>
      <c r="EG88" s="30">
        <v>0.14400000000000002</v>
      </c>
      <c r="EH88" s="30"/>
      <c r="EI88" s="30">
        <v>48.35164835164835</v>
      </c>
      <c r="EJ88" s="30">
        <v>26.373626373626376</v>
      </c>
      <c r="EK88" s="30">
        <v>51.64835164835165</v>
      </c>
      <c r="EL88" s="30">
        <v>-1.4091856934312179</v>
      </c>
      <c r="EM88" s="30">
        <v>-1.4448973568682164</v>
      </c>
      <c r="EN88" s="30">
        <v>0.14402418758184113</v>
      </c>
      <c r="EO88" s="30">
        <v>0</v>
      </c>
    </row>
    <row r="89" ht="14.25">
      <c r="A89" s="43" t="s">
        <v>139</v>
      </c>
      <c r="B89" s="43">
        <v>1</v>
      </c>
      <c r="C89" s="61">
        <v>11</v>
      </c>
      <c r="D89" s="30">
        <v>0.68850000000000011</v>
      </c>
      <c r="E89" s="30">
        <v>1.34175</v>
      </c>
      <c r="F89" s="30">
        <v>2.1502500000000002</v>
      </c>
      <c r="G89" s="30">
        <v>0.12</v>
      </c>
      <c r="H89" s="30">
        <v>10.613105645697821</v>
      </c>
      <c r="I89" s="30">
        <v>18.229525179910446</v>
      </c>
      <c r="J89" s="30">
        <v>0.33674999999999999</v>
      </c>
      <c r="K89" s="30">
        <v>48.395357705525015</v>
      </c>
      <c r="L89" s="30">
        <f>J89/F89</f>
        <v>0.15660969654691312</v>
      </c>
      <c r="M89" s="30">
        <v>-1.5330694810011303</v>
      </c>
      <c r="N89" s="31">
        <v>0.13156072614095601</v>
      </c>
      <c r="O89" s="30">
        <v>0.77133333333333343</v>
      </c>
      <c r="P89" s="30">
        <v>1.3186666666666667</v>
      </c>
      <c r="Q89" s="30">
        <v>2.2846666666666668</v>
      </c>
      <c r="R89" s="30">
        <v>0.19466666666666665</v>
      </c>
      <c r="S89" s="30">
        <v>10.331009833616234</v>
      </c>
      <c r="T89" s="30">
        <v>17.960708145677891</v>
      </c>
      <c r="U89" s="30">
        <v>0.25</v>
      </c>
      <c r="V89" s="30">
        <v>33.108692257415456</v>
      </c>
      <c r="W89" s="30">
        <f>U89/Q89</f>
        <v>0.10942515319521447</v>
      </c>
      <c r="X89" s="30">
        <v>-1.5673106747840959</v>
      </c>
      <c r="Y89" s="31">
        <v>0.13469370238975301</v>
      </c>
      <c r="Z89" s="50">
        <f>F89-Q89</f>
        <v>-0.13441666666666663</v>
      </c>
      <c r="AA89" s="30">
        <v>3.5382857142857143</v>
      </c>
      <c r="AB89" s="30">
        <v>7.0508571428571427</v>
      </c>
      <c r="AC89" s="30">
        <v>0.023142857142857142</v>
      </c>
      <c r="AD89" s="30">
        <v>2.2174285714285715</v>
      </c>
      <c r="AE89" s="30">
        <v>1.3208571428571432</v>
      </c>
      <c r="AF89" s="30">
        <v>12.640600202600714</v>
      </c>
      <c r="AG89" s="30">
        <f>AF89/AA89</f>
        <v>3.5725210520916102</v>
      </c>
      <c r="AH89" s="30">
        <v>-2.7652134862109174</v>
      </c>
      <c r="AI89" s="44">
        <f>(AE89/AA89)*100</f>
        <v>37.330426356589157</v>
      </c>
      <c r="AJ89" s="30">
        <v>2.7480000000000002</v>
      </c>
      <c r="AK89" s="30">
        <v>6.6468000000000016</v>
      </c>
      <c r="AL89" s="30">
        <v>0.016800000000000002</v>
      </c>
      <c r="AM89" s="30">
        <v>1.7676000000000003</v>
      </c>
      <c r="AN89" s="30">
        <v>0.98040000000000016</v>
      </c>
      <c r="AO89" s="30">
        <v>9.7671678237744057</v>
      </c>
      <c r="AP89" s="30">
        <f>AN89/AJ89</f>
        <v>0.35676855895196508</v>
      </c>
      <c r="AQ89" s="30">
        <v>-2.4002977518934885</v>
      </c>
      <c r="AR89" s="45">
        <f>(AN89/AJ89)*100</f>
        <v>35.67685589519651</v>
      </c>
      <c r="AS89" s="46">
        <f>AJ89-AA89</f>
        <v>-0.79028571428571404</v>
      </c>
      <c r="AT89" s="46">
        <f>AN89-AE89</f>
        <v>-0.34045714285714301</v>
      </c>
      <c r="AU89" s="30">
        <v>1.909138938126496</v>
      </c>
      <c r="AV89" s="30">
        <v>0.19955237065043221</v>
      </c>
      <c r="AW89" s="30">
        <v>0.064474192177135903</v>
      </c>
      <c r="AX89" s="31">
        <v>0.064528053910666489</v>
      </c>
      <c r="AY89" s="30">
        <v>3.4110000000000005</v>
      </c>
      <c r="AZ89" s="30">
        <v>2.1509999999999998</v>
      </c>
      <c r="BA89" s="30">
        <v>9.4570212460256009</v>
      </c>
      <c r="BB89" s="30">
        <v>2.8102283215319215</v>
      </c>
      <c r="BC89" s="39">
        <v>-2.2614724235501535</v>
      </c>
      <c r="BD89" s="30">
        <v>2.6550000000000002</v>
      </c>
      <c r="BE89" s="30">
        <v>1.4100000000000001</v>
      </c>
      <c r="BF89" s="30">
        <v>24.812967351313599</v>
      </c>
      <c r="BG89" s="30">
        <v>9.5039700878724922</v>
      </c>
      <c r="BH89" s="39">
        <v>-2.5935150601996835</v>
      </c>
      <c r="BI89" s="30">
        <v>3.2700000000000005</v>
      </c>
      <c r="BJ89" s="30">
        <v>1.3109999999999999</v>
      </c>
      <c r="BK89" s="30">
        <v>32.972228796039886</v>
      </c>
      <c r="BL89" s="30">
        <v>10.098657897835334</v>
      </c>
      <c r="BM89" s="39">
        <v>-2.3637718379913562</v>
      </c>
      <c r="BN89" s="30">
        <v>3.9180000000000001</v>
      </c>
      <c r="BO89" s="30">
        <v>2.1945000000000001</v>
      </c>
      <c r="BP89" s="30">
        <v>44.406458840924159</v>
      </c>
      <c r="BQ89" s="30">
        <v>15.907835715135352</v>
      </c>
      <c r="BR89" s="39">
        <v>-2.4802233408799488</v>
      </c>
      <c r="BS89" s="30">
        <v>4.9140000000000006</v>
      </c>
      <c r="BT89" s="30">
        <v>2.7600000000000002</v>
      </c>
      <c r="BU89" s="30">
        <v>52.447408459540007</v>
      </c>
      <c r="BV89" s="30">
        <v>11.505255236854733</v>
      </c>
      <c r="BW89" s="39">
        <v>-2.1944014609056888</v>
      </c>
      <c r="BX89" s="30">
        <v>0.15340738623274272</v>
      </c>
      <c r="BY89" s="30">
        <v>1.4237386775205791</v>
      </c>
      <c r="BZ89" s="30">
        <v>0.014730543052098866</v>
      </c>
      <c r="CA89" s="30">
        <v>1.4437500000000001</v>
      </c>
      <c r="CB89" s="30">
        <v>1.1340000000000001</v>
      </c>
      <c r="CC89" s="30">
        <v>0.30975000000000003</v>
      </c>
      <c r="CD89" s="30">
        <v>8.682189202725219</v>
      </c>
      <c r="CE89" s="30">
        <v>7.7717728667325101</v>
      </c>
      <c r="CF89" s="30">
        <v>0.045749999999999999</v>
      </c>
      <c r="CG89" s="30">
        <v>3.1045470132086361</v>
      </c>
      <c r="CH89" s="30">
        <v>0.62550000000000006</v>
      </c>
      <c r="CI89" s="30">
        <v>0.30149999999999999</v>
      </c>
      <c r="CJ89" s="30">
        <v>0.50849999999999995</v>
      </c>
      <c r="CK89" s="30">
        <v>54.697587760906529</v>
      </c>
      <c r="CL89" s="30">
        <v>26.82989982037617</v>
      </c>
      <c r="CM89" s="30">
        <v>45.302412239093471</v>
      </c>
      <c r="CN89" s="30">
        <v>-1.5640670958409033</v>
      </c>
      <c r="CO89" s="30">
        <v>-1.7149696749316903</v>
      </c>
      <c r="CP89" s="30">
        <v>0.063900747306966779</v>
      </c>
      <c r="CQ89" s="31">
        <v>1</v>
      </c>
      <c r="CR89" s="30">
        <v>3.1165000000000003</v>
      </c>
      <c r="CS89" s="30">
        <v>1.3095000000000003</v>
      </c>
      <c r="CT89" s="30">
        <v>1.8069999999999999</v>
      </c>
      <c r="CU89" s="30">
        <v>17.323638826909111</v>
      </c>
      <c r="CV89" s="30">
        <v>13.552530396572951</v>
      </c>
      <c r="CW89" s="30">
        <v>0.045499999999999999</v>
      </c>
      <c r="CX89" s="30">
        <v>4.0974750812152223</v>
      </c>
      <c r="CY89" s="30">
        <v>0.79200000000000004</v>
      </c>
      <c r="CZ89" s="30">
        <v>0.318</v>
      </c>
      <c r="DA89" s="30">
        <v>0.51750000000000007</v>
      </c>
      <c r="DB89" s="30">
        <v>58.760015857626016</v>
      </c>
      <c r="DC89" s="30">
        <v>24.247127309611024</v>
      </c>
      <c r="DD89" s="30">
        <v>41.239984142373984</v>
      </c>
      <c r="DE89" s="30">
        <v>-1.6206931822585873</v>
      </c>
      <c r="DF89" s="30">
        <v>-1.7202711131863215</v>
      </c>
      <c r="DG89" s="30">
        <v>0.15150098958814601</v>
      </c>
      <c r="DH89" s="30">
        <v>1</v>
      </c>
      <c r="DI89" s="30">
        <v>1.4120000000000001</v>
      </c>
      <c r="DJ89" s="30">
        <v>1.0980000000000001</v>
      </c>
      <c r="DK89" s="30">
        <v>0.314</v>
      </c>
      <c r="DL89" s="30">
        <v>8.7124164610523778</v>
      </c>
      <c r="DM89" s="30">
        <v>8.0793900941845536</v>
      </c>
      <c r="DN89" s="30">
        <v>0.044499999999999998</v>
      </c>
      <c r="DO89" s="30">
        <v>5.114038463296394</v>
      </c>
      <c r="DP89" s="30">
        <v>0.56100000000000005</v>
      </c>
      <c r="DQ89" s="30">
        <v>0.27600000000000002</v>
      </c>
      <c r="DR89" s="30">
        <v>0.53700000000000003</v>
      </c>
      <c r="DS89" s="30">
        <v>50.858286242536714</v>
      </c>
      <c r="DT89" s="30">
        <v>24.094751548261986</v>
      </c>
      <c r="DU89" s="30">
        <v>49.141713757463286</v>
      </c>
      <c r="DV89" s="30">
        <v>-1.5679399432669499</v>
      </c>
      <c r="DW89" s="30">
        <v>-1.706394453715081</v>
      </c>
      <c r="DX89" s="30">
        <v>0.1054149162452728</v>
      </c>
      <c r="DY89" s="30">
        <v>0.5</v>
      </c>
      <c r="DZ89" s="30">
        <v>2.5475000000000003</v>
      </c>
      <c r="EA89" s="30">
        <v>2.0910000000000002</v>
      </c>
      <c r="EB89" s="30">
        <v>0.45650000000000002</v>
      </c>
      <c r="EC89" s="30">
        <v>17.415944265716782</v>
      </c>
      <c r="ED89" s="30">
        <v>9.1365261661826445</v>
      </c>
      <c r="EE89" s="30">
        <v>0.045999999999999999</v>
      </c>
      <c r="EF89" s="30">
        <v>0.94499999999999995</v>
      </c>
      <c r="EG89" s="30">
        <v>0.45450000000000002</v>
      </c>
      <c r="EH89" s="30">
        <v>1.1460000000000001</v>
      </c>
      <c r="EI89" s="30">
        <v>42.144442636322566</v>
      </c>
      <c r="EJ89" s="30">
        <v>20.003748006900793</v>
      </c>
      <c r="EK89" s="30">
        <v>57.855557363677448</v>
      </c>
      <c r="EL89" s="30">
        <v>-1.7011321453742159</v>
      </c>
      <c r="EM89" s="30">
        <v>-1.7494565638244919</v>
      </c>
      <c r="EN89" s="30">
        <v>0.23242698542220955</v>
      </c>
      <c r="EO89" s="30">
        <v>3</v>
      </c>
    </row>
    <row r="90" ht="14.25">
      <c r="A90" s="42" t="s">
        <v>139</v>
      </c>
      <c r="B90" s="43">
        <v>1</v>
      </c>
      <c r="C90" s="43">
        <v>11.01</v>
      </c>
      <c r="D90" s="30">
        <v>0.73999999999999999</v>
      </c>
      <c r="E90" s="30">
        <v>1.2700000000000002</v>
      </c>
      <c r="F90" s="30">
        <v>2.091333333333333</v>
      </c>
      <c r="G90" s="30">
        <v>0.081333333333333327</v>
      </c>
      <c r="H90" s="30">
        <v>10.507069391954898</v>
      </c>
      <c r="I90" s="30">
        <v>17.661737075188185</v>
      </c>
      <c r="J90" s="30">
        <v>0.34200000000000003</v>
      </c>
      <c r="K90" s="30">
        <v>46.869068917920863</v>
      </c>
      <c r="L90" s="30">
        <f>J90/F90</f>
        <v>0.1635320369780045</v>
      </c>
      <c r="M90" s="30">
        <v>-1.5613139941281415</v>
      </c>
      <c r="N90" s="31">
        <v>0.13297093268063126</v>
      </c>
      <c r="O90" s="30">
        <v>0.6386666666666666</v>
      </c>
      <c r="P90" s="30">
        <v>0.87800000000000011</v>
      </c>
      <c r="Q90" s="30">
        <v>1.5440000000000003</v>
      </c>
      <c r="R90" s="30">
        <v>0.027333333333333334</v>
      </c>
      <c r="S90" s="30">
        <v>10.207866806720471</v>
      </c>
      <c r="T90" s="30">
        <v>16.704058512869551</v>
      </c>
      <c r="U90" s="30">
        <v>0.34800000000000009</v>
      </c>
      <c r="V90" s="30">
        <v>53.877292390576919</v>
      </c>
      <c r="W90" s="30">
        <f>U90/Q90</f>
        <v>0.22538860103626945</v>
      </c>
      <c r="X90" s="30">
        <v>-1.4674942956520207</v>
      </c>
      <c r="Y90" s="31">
        <v>0.11409588441902743</v>
      </c>
      <c r="Z90" s="32">
        <f>F90-Q90</f>
        <v>0.54733333333333278</v>
      </c>
      <c r="AA90" s="30">
        <v>1.5294000000000001</v>
      </c>
      <c r="AB90" s="30">
        <v>2.8361999999999998</v>
      </c>
      <c r="AC90" s="30">
        <v>0</v>
      </c>
      <c r="AD90" s="30">
        <v>0.92279999999999995</v>
      </c>
      <c r="AE90" s="30">
        <v>0.60660000000000003</v>
      </c>
      <c r="AF90" s="30">
        <v>11.339559585012392</v>
      </c>
      <c r="AG90" s="30">
        <f>AF90/AA90</f>
        <v>7.414384454696215</v>
      </c>
      <c r="AH90" s="30">
        <v>-2.1787085887507209</v>
      </c>
      <c r="AI90" s="44">
        <f>(AE90/AA90)*100</f>
        <v>39.662612789329152</v>
      </c>
      <c r="AJ90" s="30">
        <v>1.6086000000000003</v>
      </c>
      <c r="AK90" s="30">
        <v>2.8674000000000004</v>
      </c>
      <c r="AL90" s="30">
        <v>0.012</v>
      </c>
      <c r="AM90" s="30">
        <v>0.93420000000000003</v>
      </c>
      <c r="AN90" s="30">
        <v>0.6744</v>
      </c>
      <c r="AO90" s="30">
        <v>11.371229868392438</v>
      </c>
      <c r="AP90" s="30">
        <f>AN90/AJ90</f>
        <v>0.4192465497948526</v>
      </c>
      <c r="AQ90" s="30">
        <v>-2.3593782244338812</v>
      </c>
      <c r="AR90" s="45">
        <f>(AN90/AJ90)*100</f>
        <v>41.924654979485261</v>
      </c>
      <c r="AS90" s="46">
        <f>AJ90-AA90</f>
        <v>0.079200000000000159</v>
      </c>
      <c r="AT90" s="46">
        <f>AN90-AE90</f>
        <v>0.067799999999999971</v>
      </c>
      <c r="AU90" s="30">
        <v>0.99772109724215452</v>
      </c>
      <c r="AV90" s="30">
        <v>0.50039826495472162</v>
      </c>
      <c r="AW90" s="30">
        <v>0.49330187828570826</v>
      </c>
      <c r="AX90" s="31">
        <v>0.49330664235817961</v>
      </c>
      <c r="AY90" s="30">
        <v>3.3283999999999998</v>
      </c>
      <c r="AZ90" s="30">
        <v>1.8216000000000001</v>
      </c>
      <c r="BA90" s="30">
        <v>9.9759274682938646</v>
      </c>
      <c r="BB90" s="30">
        <v>3.0697147871823303</v>
      </c>
      <c r="BC90" s="39">
        <v>-2.2406177020391942</v>
      </c>
      <c r="BD90" s="30">
        <v>3.7464</v>
      </c>
      <c r="BE90" s="30">
        <v>2.0268000000000006</v>
      </c>
      <c r="BF90" s="30">
        <v>19.094761750877847</v>
      </c>
      <c r="BG90" s="30">
        <v>5.1687814914637569</v>
      </c>
      <c r="BH90" s="39">
        <v>-2.6670098708781085</v>
      </c>
      <c r="BI90" s="30">
        <v>6.2292000000000005</v>
      </c>
      <c r="BJ90" s="30">
        <v>3.3780000000000001</v>
      </c>
      <c r="BK90" s="30">
        <v>28.660256879448934</v>
      </c>
      <c r="BL90" s="30">
        <v>4.8499047034415481</v>
      </c>
      <c r="BM90" s="39">
        <v>-2.4884833650785203</v>
      </c>
      <c r="BN90" s="30">
        <v>5.5739999999999998</v>
      </c>
      <c r="BO90" s="30">
        <v>3.0347999999999997</v>
      </c>
      <c r="BP90" s="30">
        <v>38.165362220743432</v>
      </c>
      <c r="BQ90" s="30">
        <v>6.9035427796514224</v>
      </c>
      <c r="BR90" s="39">
        <v>-2.2839075121976982</v>
      </c>
      <c r="BS90" s="30">
        <v>7.0584000000000007</v>
      </c>
      <c r="BT90" s="30">
        <v>3.9048000000000003</v>
      </c>
      <c r="BU90" s="30">
        <v>47.578369097313328</v>
      </c>
      <c r="BV90" s="30">
        <v>7.3591241145717294</v>
      </c>
      <c r="BW90" s="39">
        <v>-2.4794561143448073</v>
      </c>
      <c r="BX90" s="30">
        <v>0.12885783687297239</v>
      </c>
      <c r="BY90" s="30">
        <v>0.73138576293473279</v>
      </c>
      <c r="BZ90" s="30">
        <v>0.27924291250727828</v>
      </c>
      <c r="CA90" s="30">
        <v>1.12775</v>
      </c>
      <c r="CB90" s="30">
        <v>0.80099999999999993</v>
      </c>
      <c r="CC90" s="30">
        <v>0.32675000000000004</v>
      </c>
      <c r="CD90" s="30">
        <v>8.6197243719561385</v>
      </c>
      <c r="CE90" s="30">
        <v>10.929203104959686</v>
      </c>
      <c r="CF90" s="30">
        <v>0.03925</v>
      </c>
      <c r="CG90" s="30">
        <v>3.0754020557388753</v>
      </c>
      <c r="CH90" s="30">
        <v>0.38100000000000001</v>
      </c>
      <c r="CI90" s="30">
        <v>0.19350000000000001</v>
      </c>
      <c r="CJ90" s="30">
        <v>0.42000000000000004</v>
      </c>
      <c r="CK90" s="30">
        <v>47.064262692750596</v>
      </c>
      <c r="CL90" s="30">
        <v>24.76507934885559</v>
      </c>
      <c r="CM90" s="30">
        <v>52.935737307249397</v>
      </c>
      <c r="CN90" s="30">
        <v>-1.6375374393015441</v>
      </c>
      <c r="CO90" s="30">
        <v>-1.669034564599307</v>
      </c>
      <c r="CP90" s="30">
        <v>0.19942678761075394</v>
      </c>
      <c r="CQ90" s="31">
        <v>0.5</v>
      </c>
      <c r="CR90" s="30">
        <v>1.3295000000000001</v>
      </c>
      <c r="CS90" s="30">
        <v>0.96000000000000019</v>
      </c>
      <c r="CT90" s="30">
        <v>0.36950000000000005</v>
      </c>
      <c r="CU90" s="30">
        <v>16.518800113727437</v>
      </c>
      <c r="CV90" s="30">
        <v>18.806367709083247</v>
      </c>
      <c r="CW90" s="30">
        <v>0.035500000000000004</v>
      </c>
      <c r="CX90" s="30">
        <v>4.0381083139149334</v>
      </c>
      <c r="CY90" s="30">
        <v>0.39600000000000002</v>
      </c>
      <c r="CZ90" s="30">
        <v>0.12000000000000002</v>
      </c>
      <c r="DA90" s="30">
        <v>0.56400000000000006</v>
      </c>
      <c r="DB90" s="30">
        <v>40.192396427861546</v>
      </c>
      <c r="DC90" s="30">
        <v>12.02414671891416</v>
      </c>
      <c r="DD90" s="30">
        <v>59.807603572138454</v>
      </c>
      <c r="DE90" s="30">
        <v>-1.4909883538557731</v>
      </c>
      <c r="DF90" s="30">
        <v>-1.6092685258421926</v>
      </c>
      <c r="DG90" s="30">
        <v>0.28450225613613284</v>
      </c>
      <c r="DH90" s="30">
        <v>1.25</v>
      </c>
      <c r="DI90" s="30">
        <v>1.2257500000000001</v>
      </c>
      <c r="DJ90" s="30">
        <v>1.0665</v>
      </c>
      <c r="DK90" s="30">
        <v>0.15925000000000003</v>
      </c>
      <c r="DL90" s="30">
        <v>8.6154332544198837</v>
      </c>
      <c r="DM90" s="30">
        <v>8.1587187367731584</v>
      </c>
      <c r="DN90" s="30">
        <v>0.076249999999999998</v>
      </c>
      <c r="DO90" s="30">
        <v>5.099078737287801</v>
      </c>
      <c r="DP90" s="30">
        <v>0.36900000000000005</v>
      </c>
      <c r="DQ90" s="30">
        <v>0.07350000000000001</v>
      </c>
      <c r="DR90" s="30">
        <v>0.69750000000000001</v>
      </c>
      <c r="DS90" s="30">
        <v>35.504716099389412</v>
      </c>
      <c r="DT90" s="30">
        <v>6.9512315391188793</v>
      </c>
      <c r="DU90" s="30">
        <v>64.495283900610588</v>
      </c>
      <c r="DV90" s="30">
        <v>-1.6335520337007849</v>
      </c>
      <c r="DW90" s="30">
        <v>-1.719159485582392</v>
      </c>
      <c r="DX90" s="30">
        <v>0.10025468117485629</v>
      </c>
      <c r="DY90" s="30">
        <v>1</v>
      </c>
      <c r="DZ90" s="30">
        <v>1.6216666666666668</v>
      </c>
      <c r="EA90" s="30">
        <v>1.23</v>
      </c>
      <c r="EB90" s="30">
        <v>0.39166666666666666</v>
      </c>
      <c r="EC90" s="30">
        <v>17.083698905905031</v>
      </c>
      <c r="ED90" s="30">
        <v>14.519851848678703</v>
      </c>
      <c r="EE90" s="30">
        <v>0.051250000000000004</v>
      </c>
      <c r="EF90" s="30">
        <v>0.35600000000000004</v>
      </c>
      <c r="EG90" s="30">
        <v>0.106</v>
      </c>
      <c r="EH90" s="30">
        <v>0.874</v>
      </c>
      <c r="EI90" s="30">
        <v>29.27887012410142</v>
      </c>
      <c r="EJ90" s="30">
        <v>8.8972287944303936</v>
      </c>
      <c r="EK90" s="30">
        <v>70.721129875898569</v>
      </c>
      <c r="EL90" s="30">
        <v>-1.5070911271072154</v>
      </c>
      <c r="EM90" s="30">
        <v>-1.566645906293255</v>
      </c>
      <c r="EN90" s="30">
        <v>0.27556945909787151</v>
      </c>
      <c r="EO90" s="30">
        <v>1.6666666666666667</v>
      </c>
    </row>
    <row r="91" ht="14.25">
      <c r="A91" s="42" t="s">
        <v>139</v>
      </c>
      <c r="B91" s="43">
        <v>1</v>
      </c>
      <c r="C91" s="43">
        <v>11.02</v>
      </c>
      <c r="D91" s="30">
        <v>0.60419999999999996</v>
      </c>
      <c r="E91" s="30">
        <v>0.91500000000000004</v>
      </c>
      <c r="F91" s="30">
        <v>1.623</v>
      </c>
      <c r="G91" s="30">
        <v>0.10380000000000003</v>
      </c>
      <c r="H91" s="30">
        <v>10.518881675242664</v>
      </c>
      <c r="I91" s="30">
        <v>18.026598969910371</v>
      </c>
      <c r="J91" s="30">
        <v>0.31020000000000003</v>
      </c>
      <c r="K91" s="30">
        <v>50.81390555505844</v>
      </c>
      <c r="L91" s="30">
        <f>J91/F91</f>
        <v>0.19112754158964881</v>
      </c>
      <c r="M91" s="30">
        <v>-1.4654027973983978</v>
      </c>
      <c r="N91" s="31">
        <v>0.12948997032846044</v>
      </c>
      <c r="O91" s="30">
        <v>0.57780000000000009</v>
      </c>
      <c r="P91" s="30">
        <v>0.60540000000000005</v>
      </c>
      <c r="Q91" s="30">
        <v>1.1952000000000003</v>
      </c>
      <c r="R91" s="30">
        <v>0.012</v>
      </c>
      <c r="S91" s="30">
        <v>10.391906744655222</v>
      </c>
      <c r="T91" s="30">
        <v>17.541859054717865</v>
      </c>
      <c r="U91" s="30">
        <v>0.31860000000000005</v>
      </c>
      <c r="V91" s="30">
        <v>54.079660340443411</v>
      </c>
      <c r="W91" s="30">
        <f>U91/Q91</f>
        <v>0.26656626506024095</v>
      </c>
      <c r="X91" s="30">
        <v>-1.4842013523119253</v>
      </c>
      <c r="Y91" s="31">
        <v>0.15648767919564874</v>
      </c>
      <c r="Z91" s="32">
        <f>F91-Q91</f>
        <v>0.42779999999999974</v>
      </c>
      <c r="AA91" s="30">
        <v>2.9345999999999997</v>
      </c>
      <c r="AB91" s="30">
        <v>6.0114000000000019</v>
      </c>
      <c r="AC91" s="30">
        <v>0.022200000000000004</v>
      </c>
      <c r="AD91" s="30">
        <v>1.6074000000000002</v>
      </c>
      <c r="AE91" s="30">
        <v>1.3271999999999999</v>
      </c>
      <c r="AF91" s="30">
        <v>11.257892670696593</v>
      </c>
      <c r="AG91" s="30">
        <f>AF91/AA91</f>
        <v>3.8362613885015318</v>
      </c>
      <c r="AH91" s="30">
        <v>-2.9040403650207436</v>
      </c>
      <c r="AI91" s="44">
        <f>(AE91/AA91)*100</f>
        <v>45.225925168677165</v>
      </c>
      <c r="AJ91" s="30">
        <v>3.0546666666666669</v>
      </c>
      <c r="AK91" s="30">
        <v>4.554666666666666</v>
      </c>
      <c r="AL91" s="30">
        <v>0.026666666666666665</v>
      </c>
      <c r="AM91" s="30">
        <v>1.5553333333333335</v>
      </c>
      <c r="AN91" s="30">
        <v>1.4993333333333334</v>
      </c>
      <c r="AO91" s="30">
        <v>11.550969029558694</v>
      </c>
      <c r="AP91" s="30">
        <f>AN91/AJ91</f>
        <v>0.49083369707551289</v>
      </c>
      <c r="AQ91" s="30">
        <v>-3.0516098309724669</v>
      </c>
      <c r="AR91" s="45">
        <f>(AN91/AJ91)*100</f>
        <v>49.083369707551292</v>
      </c>
      <c r="AS91" s="46">
        <f>AJ91-AA91</f>
        <v>0.12006666666666721</v>
      </c>
      <c r="AT91" s="46">
        <f>AN91-AE91</f>
        <v>0.17213333333333347</v>
      </c>
      <c r="AU91" s="30">
        <v>5.353590205227694</v>
      </c>
      <c r="AV91" s="30">
        <v>0.17992082735174178</v>
      </c>
      <c r="AW91" s="30">
        <v>0.19017711153150263</v>
      </c>
      <c r="AX91" s="31">
        <v>0.19041232152450796</v>
      </c>
      <c r="AY91" s="30">
        <v>8.8032000000000004</v>
      </c>
      <c r="AZ91" s="30">
        <v>5.0736000000000008</v>
      </c>
      <c r="BA91" s="30">
        <v>9.8124354644767866</v>
      </c>
      <c r="BB91" s="30">
        <v>1.1392197707327674</v>
      </c>
      <c r="BC91" s="39">
        <v>-2.3411435783414665</v>
      </c>
      <c r="BD91" s="30">
        <v>8.4210000000000012</v>
      </c>
      <c r="BE91" s="30">
        <v>4.1265000000000001</v>
      </c>
      <c r="BF91" s="30">
        <v>20.105622598019909</v>
      </c>
      <c r="BG91" s="30">
        <v>2.4448330070174098</v>
      </c>
      <c r="BH91" s="39">
        <v>-3.2656924184009921</v>
      </c>
      <c r="BI91" s="30">
        <v>9.4236000000000004</v>
      </c>
      <c r="BJ91" s="30">
        <v>4.1028000000000002</v>
      </c>
      <c r="BK91" s="30">
        <v>28.965337030829744</v>
      </c>
      <c r="BL91" s="30">
        <v>3.3418746723337462</v>
      </c>
      <c r="BM91" s="39">
        <v>-3.0365164746424105</v>
      </c>
      <c r="BN91" s="30">
        <v>9.2940000000000005</v>
      </c>
      <c r="BO91" s="30">
        <v>4.1400000000000006</v>
      </c>
      <c r="BP91" s="30">
        <v>38.414057517759126</v>
      </c>
      <c r="BQ91" s="30">
        <v>4.1621015151167802</v>
      </c>
      <c r="BR91" s="39">
        <v>-2.8842831792482118</v>
      </c>
      <c r="BS91" s="30">
        <v>12.043200000000002</v>
      </c>
      <c r="BT91" s="30">
        <v>5.9736000000000002</v>
      </c>
      <c r="BU91" s="30">
        <v>47.737252917324405</v>
      </c>
      <c r="BV91" s="30">
        <v>4.0071535343007927</v>
      </c>
      <c r="BW91" s="39">
        <v>-2.7753431822565546</v>
      </c>
      <c r="BX91" s="30">
        <v>0.18550493713790142</v>
      </c>
      <c r="BY91" s="30">
        <v>0.32937945823032905</v>
      </c>
      <c r="BZ91" s="30">
        <v>0.53438051197137404</v>
      </c>
      <c r="CA91" s="30">
        <v>0.94050000000000011</v>
      </c>
      <c r="CB91" s="30">
        <v>0.78900000000000003</v>
      </c>
      <c r="CC91" s="30">
        <v>0.15150000000000002</v>
      </c>
      <c r="CD91" s="30">
        <v>8.7216160643093019</v>
      </c>
      <c r="CE91" s="30">
        <v>11.296083942770522</v>
      </c>
      <c r="CF91" s="30">
        <v>0.057000000000000009</v>
      </c>
      <c r="CG91" s="30">
        <v>3.1169297529655839</v>
      </c>
      <c r="CH91" s="30">
        <v>0.40200000000000002</v>
      </c>
      <c r="CI91" s="30">
        <v>0.2475</v>
      </c>
      <c r="CJ91" s="30">
        <v>0.38700000000000007</v>
      </c>
      <c r="CK91" s="30">
        <v>50.092995267010174</v>
      </c>
      <c r="CL91" s="30">
        <v>29.193814972030054</v>
      </c>
      <c r="CM91" s="30">
        <v>49.907004732989826</v>
      </c>
      <c r="CN91" s="30">
        <v>-1.4720376334693293</v>
      </c>
      <c r="CO91" s="30">
        <v>-1.5860710643449314</v>
      </c>
      <c r="CP91" s="30">
        <v>0.086746829992650432</v>
      </c>
      <c r="CQ91" s="31">
        <v>0.5</v>
      </c>
      <c r="CR91" s="30">
        <v>1.14575</v>
      </c>
      <c r="CS91" s="30">
        <v>1.0710000000000002</v>
      </c>
      <c r="CT91" s="30">
        <v>0.074749999999999997</v>
      </c>
      <c r="CU91" s="30">
        <v>16.891355484052621</v>
      </c>
      <c r="CV91" s="30">
        <v>16.198450264340952</v>
      </c>
      <c r="CW91" s="30">
        <v>0.07825</v>
      </c>
      <c r="CX91" s="30">
        <v>4.0703372618325568</v>
      </c>
      <c r="CY91" s="30">
        <v>0.55649999999999999</v>
      </c>
      <c r="CZ91" s="30">
        <v>0.2205</v>
      </c>
      <c r="DA91" s="30">
        <v>0.51449999999999996</v>
      </c>
      <c r="DB91" s="30">
        <v>50.815885790174967</v>
      </c>
      <c r="DC91" s="30">
        <v>19.962144491031363</v>
      </c>
      <c r="DD91" s="30">
        <v>49.18411420982504</v>
      </c>
      <c r="DE91" s="30">
        <v>-1.5007240716345973</v>
      </c>
      <c r="DF91" s="30">
        <v>-1.614290687442016</v>
      </c>
      <c r="DG91" s="30">
        <v>0.10650813281150999</v>
      </c>
      <c r="DH91" s="30">
        <v>1</v>
      </c>
      <c r="DI91" s="30">
        <v>1.0465</v>
      </c>
      <c r="DJ91" s="30">
        <v>0.77550000000000008</v>
      </c>
      <c r="DK91" s="30">
        <v>0.27100000000000002</v>
      </c>
      <c r="DL91" s="30">
        <v>8.8775188541689207</v>
      </c>
      <c r="DM91" s="30">
        <v>11.525830699390987</v>
      </c>
      <c r="DN91" s="30">
        <v>0.037999999999999999</v>
      </c>
      <c r="DO91" s="30">
        <v>5.1437272176180482</v>
      </c>
      <c r="DP91" s="30">
        <v>0.25950000000000001</v>
      </c>
      <c r="DQ91" s="30">
        <v>0.11549999999999998</v>
      </c>
      <c r="DR91" s="30">
        <v>0.51600000000000001</v>
      </c>
      <c r="DS91" s="30">
        <v>33.773914906700838</v>
      </c>
      <c r="DT91" s="30">
        <v>14.947524753625107</v>
      </c>
      <c r="DU91" s="30">
        <v>66.226085093299162</v>
      </c>
      <c r="DV91" s="30">
        <v>-1.4796080375457974</v>
      </c>
      <c r="DW91" s="30">
        <v>-1.4767947281437164</v>
      </c>
      <c r="DX91" s="30">
        <v>0.076186623330179948</v>
      </c>
      <c r="DY91" s="30">
        <v>1</v>
      </c>
      <c r="DZ91" s="30">
        <v>1.6009999999999998</v>
      </c>
      <c r="EA91" s="30">
        <v>1.395</v>
      </c>
      <c r="EB91" s="30">
        <v>0.20600000000000002</v>
      </c>
      <c r="EC91" s="30">
        <v>17.058465667752351</v>
      </c>
      <c r="ED91" s="30">
        <v>12.84518765048241</v>
      </c>
      <c r="EE91" s="30">
        <v>0.042999999999999997</v>
      </c>
      <c r="EF91" s="30">
        <v>0.54000000000000004</v>
      </c>
      <c r="EG91" s="30">
        <v>0.33600000000000002</v>
      </c>
      <c r="EH91" s="30">
        <v>0.85500000000000009</v>
      </c>
      <c r="EI91" s="30">
        <v>37.492422892171007</v>
      </c>
      <c r="EJ91" s="30">
        <v>21.702480594906802</v>
      </c>
      <c r="EK91" s="30">
        <v>62.507577107828993</v>
      </c>
      <c r="EL91" s="30">
        <v>-1.5614576884039757</v>
      </c>
      <c r="EM91" s="30">
        <v>-1.6315299121576694</v>
      </c>
      <c r="EN91" s="30">
        <v>0.11814008405050777</v>
      </c>
      <c r="EO91" s="30">
        <v>1.25</v>
      </c>
    </row>
    <row r="92" ht="14.25">
      <c r="A92" s="42" t="s">
        <v>139</v>
      </c>
      <c r="B92" s="43">
        <v>1</v>
      </c>
      <c r="C92" s="43">
        <v>11.039999999999999</v>
      </c>
      <c r="D92" s="30">
        <v>0.57525000000000004</v>
      </c>
      <c r="E92" s="30">
        <v>0.91200000000000025</v>
      </c>
      <c r="F92" s="30">
        <v>1.4872500000000002</v>
      </c>
      <c r="G92" s="30">
        <v>0</v>
      </c>
      <c r="H92" s="30">
        <v>10.848639282551577</v>
      </c>
      <c r="I92" s="30">
        <v>17.912516317787567</v>
      </c>
      <c r="J92" s="30">
        <v>0.32400000000000001</v>
      </c>
      <c r="K92" s="30">
        <v>55.727688356744878</v>
      </c>
      <c r="L92" s="30">
        <f>J92/F92</f>
        <v>0.21785173978819969</v>
      </c>
      <c r="M92" s="30">
        <v>-1.499001321115933</v>
      </c>
      <c r="N92" s="31">
        <v>0.19930779901528051</v>
      </c>
      <c r="O92" s="30">
        <v>0.57428571428571418</v>
      </c>
      <c r="P92" s="30">
        <v>0.70200000000000007</v>
      </c>
      <c r="Q92" s="30">
        <v>1.2762857142857145</v>
      </c>
      <c r="R92" s="30">
        <v>0</v>
      </c>
      <c r="S92" s="30">
        <v>10.80850695736993</v>
      </c>
      <c r="T92" s="30">
        <v>17.560462619266776</v>
      </c>
      <c r="U92" s="30">
        <v>0.28971428571428576</v>
      </c>
      <c r="V92" s="30">
        <v>51.051170201292841</v>
      </c>
      <c r="W92" s="30">
        <f>U92/Q92</f>
        <v>0.22699798522498321</v>
      </c>
      <c r="X92" s="30">
        <v>-1.4356830413057657</v>
      </c>
      <c r="Y92" s="31">
        <v>0.1386523393757354</v>
      </c>
      <c r="Z92" s="32">
        <f>F92-Q92</f>
        <v>0.21096428571428572</v>
      </c>
      <c r="AA92" s="30">
        <v>3.2135999999999996</v>
      </c>
      <c r="AB92" s="30">
        <v>6.0486000000000004</v>
      </c>
      <c r="AC92" s="30">
        <v>0.032400000000000005</v>
      </c>
      <c r="AD92" s="30">
        <v>1.8198000000000003</v>
      </c>
      <c r="AE92" s="30">
        <v>1.3938000000000001</v>
      </c>
      <c r="AF92" s="30">
        <v>11.642324506300442</v>
      </c>
      <c r="AG92" s="30">
        <f>AF92/AA92</f>
        <v>3.622829383339695</v>
      </c>
      <c r="AH92" s="30">
        <v>-2.4398369790918872</v>
      </c>
      <c r="AI92" s="44">
        <f>(AE92/AA92)*100</f>
        <v>43.371919342793142</v>
      </c>
      <c r="AJ92" s="30">
        <v>3.1646666666666667</v>
      </c>
      <c r="AK92" s="30">
        <v>5.1086666666666671</v>
      </c>
      <c r="AL92" s="30">
        <v>0.034000000000000002</v>
      </c>
      <c r="AM92" s="30">
        <v>1.7306666666666668</v>
      </c>
      <c r="AN92" s="30">
        <v>1.4340000000000002</v>
      </c>
      <c r="AO92" s="30">
        <v>11.628427493268831</v>
      </c>
      <c r="AP92" s="30">
        <f>AN92/AJ92</f>
        <v>0.45312829155255957</v>
      </c>
      <c r="AQ92" s="30">
        <v>-2.4818375329473898</v>
      </c>
      <c r="AR92" s="45">
        <f>(AN92/AJ92)*100</f>
        <v>45.312829155255955</v>
      </c>
      <c r="AS92" s="46">
        <f>AJ92-AA92</f>
        <v>-0.048933333333332829</v>
      </c>
      <c r="AT92" s="46">
        <f>AN92-AE92</f>
        <v>0.040200000000000014</v>
      </c>
      <c r="AU92" s="30">
        <v>1.7191185533255979</v>
      </c>
      <c r="AV92" s="30">
        <v>0.31488334102401833</v>
      </c>
      <c r="AW92" s="30">
        <v>0.65488639075107946</v>
      </c>
      <c r="AX92" s="31">
        <v>0.65509209973176052</v>
      </c>
      <c r="AY92" s="30">
        <v>3.6864000000000003</v>
      </c>
      <c r="AZ92" s="30">
        <v>1.8111999999999999</v>
      </c>
      <c r="BA92" s="30">
        <v>9.8888757181795537</v>
      </c>
      <c r="BB92" s="30">
        <v>2.6971598173629387</v>
      </c>
      <c r="BC92" s="39">
        <v>-2.8846175734145287</v>
      </c>
      <c r="BD92" s="30">
        <v>4.3956</v>
      </c>
      <c r="BE92" s="30">
        <v>2.0784000000000002</v>
      </c>
      <c r="BF92" s="30">
        <v>19.14555869680585</v>
      </c>
      <c r="BG92" s="30">
        <v>4.3853784541475429</v>
      </c>
      <c r="BH92" s="39">
        <v>-2.7982912872534005</v>
      </c>
      <c r="BI92" s="30">
        <v>4.6980000000000004</v>
      </c>
      <c r="BJ92" s="30">
        <v>2.1468000000000003</v>
      </c>
      <c r="BK92" s="30">
        <v>29.078441131478009</v>
      </c>
      <c r="BL92" s="30">
        <v>6.1984213022393515</v>
      </c>
      <c r="BM92" s="39">
        <v>-2.646751970221783</v>
      </c>
      <c r="BN92" s="30">
        <v>5.1204000000000001</v>
      </c>
      <c r="BO92" s="30">
        <v>2.4707999999999997</v>
      </c>
      <c r="BP92" s="30">
        <v>38.89997098032147</v>
      </c>
      <c r="BQ92" s="30">
        <v>7.6254001354162613</v>
      </c>
      <c r="BR92" s="39">
        <v>-2.3891913554013238</v>
      </c>
      <c r="BS92" s="30">
        <v>6.2232000000000003</v>
      </c>
      <c r="BT92" s="30">
        <v>2.8116000000000003</v>
      </c>
      <c r="BU92" s="30">
        <v>47.783846695103044</v>
      </c>
      <c r="BV92" s="30">
        <v>7.8664868241723225</v>
      </c>
      <c r="BW92" s="39">
        <v>-2.6404826869882299</v>
      </c>
      <c r="BX92" s="30">
        <v>0.15634754163907671</v>
      </c>
      <c r="BY92" s="30">
        <v>0.38318014520836619</v>
      </c>
      <c r="BZ92" s="30">
        <v>0.45978311683316342</v>
      </c>
      <c r="CA92" s="30">
        <v>0.87625000000000008</v>
      </c>
      <c r="CB92" s="30">
        <v>0.78300000000000003</v>
      </c>
      <c r="CC92" s="30">
        <v>0.093250000000000013</v>
      </c>
      <c r="CD92" s="30">
        <v>9.1783594868679756</v>
      </c>
      <c r="CE92" s="30">
        <v>11.791122617699047</v>
      </c>
      <c r="CF92" s="30">
        <v>0.047750000000000001</v>
      </c>
      <c r="CG92" s="30">
        <v>3.1891441576908965</v>
      </c>
      <c r="CH92" s="30">
        <v>0.34650000000000003</v>
      </c>
      <c r="CI92" s="30">
        <v>0.153</v>
      </c>
      <c r="CJ92" s="30">
        <v>0.4365</v>
      </c>
      <c r="CK92" s="30">
        <v>44.138748064030352</v>
      </c>
      <c r="CL92" s="30">
        <v>19.433263307949133</v>
      </c>
      <c r="CM92" s="30">
        <v>55.861251935969655</v>
      </c>
      <c r="CN92" s="30">
        <v>-1.5108749224214013</v>
      </c>
      <c r="CO92" s="30">
        <v>-1.56915058953251</v>
      </c>
      <c r="CP92" s="30">
        <v>0.067240013445020189</v>
      </c>
      <c r="CQ92" s="31">
        <v>0.33333333333333331</v>
      </c>
      <c r="CR92" s="30">
        <v>1.0767500000000001</v>
      </c>
      <c r="CS92" s="30">
        <v>0.82949999999999979</v>
      </c>
      <c r="CT92" s="30">
        <v>0.24724999999999997</v>
      </c>
      <c r="CU92" s="30">
        <v>16.839290322984855</v>
      </c>
      <c r="CV92" s="30">
        <v>20.341228624480195</v>
      </c>
      <c r="CW92" s="30">
        <v>0.043749999999999997</v>
      </c>
      <c r="CX92" s="30">
        <v>4.0713158406457017</v>
      </c>
      <c r="CY92" s="30">
        <v>0.28650000000000003</v>
      </c>
      <c r="CZ92" s="30">
        <v>0.076500000000000012</v>
      </c>
      <c r="DA92" s="30">
        <v>0.54300000000000004</v>
      </c>
      <c r="DB92" s="30">
        <v>34.550157642262903</v>
      </c>
      <c r="DC92" s="30">
        <v>9.2556098477151103</v>
      </c>
      <c r="DD92" s="30">
        <v>65.449842357737097</v>
      </c>
      <c r="DE92" s="30">
        <v>-1.4766955990096986</v>
      </c>
      <c r="DF92" s="30">
        <v>-1.5387044338475242</v>
      </c>
      <c r="DG92" s="30">
        <v>0.070878856811618499</v>
      </c>
      <c r="DH92" s="30">
        <v>0.25</v>
      </c>
      <c r="DI92" s="30">
        <v>1.0739999999999998</v>
      </c>
      <c r="DJ92" s="30">
        <v>0.81600000000000006</v>
      </c>
      <c r="DK92" s="30">
        <v>0.25800000000000001</v>
      </c>
      <c r="DL92" s="30">
        <v>8.903958187621706</v>
      </c>
      <c r="DM92" s="30">
        <v>11.028043456396659</v>
      </c>
      <c r="DN92" s="30">
        <v>0.0195</v>
      </c>
      <c r="DO92" s="30">
        <v>5.1463973412612596</v>
      </c>
      <c r="DP92" s="30">
        <v>0.22350000000000003</v>
      </c>
      <c r="DQ92" s="30">
        <v>0.12</v>
      </c>
      <c r="DR92" s="30">
        <v>0.59250000000000003</v>
      </c>
      <c r="DS92" s="30">
        <v>27.786617177034088</v>
      </c>
      <c r="DT92" s="30">
        <v>14.770260924372527</v>
      </c>
      <c r="DU92" s="30">
        <v>72.213382822965912</v>
      </c>
      <c r="DV92" s="30">
        <v>-1.5203967413806787</v>
      </c>
      <c r="DW92" s="30">
        <v>-1.4192329926397009</v>
      </c>
      <c r="DX92" s="30">
        <v>0.072221789976451317</v>
      </c>
      <c r="DY92" s="30">
        <v>1</v>
      </c>
      <c r="DZ92" s="30">
        <v>1.39975</v>
      </c>
      <c r="EA92" s="30">
        <v>1.1070000000000002</v>
      </c>
      <c r="EB92" s="30">
        <v>0.29275000000000001</v>
      </c>
      <c r="EC92" s="30">
        <v>17.251821850430581</v>
      </c>
      <c r="ED92" s="30">
        <v>15.62476714707285</v>
      </c>
      <c r="EE92" s="30">
        <v>0.065750000000000003</v>
      </c>
      <c r="EF92" s="30">
        <v>0.41699999999999998</v>
      </c>
      <c r="EG92" s="30">
        <v>0.10500000000000001</v>
      </c>
      <c r="EH92" s="30">
        <v>0.69000000000000017</v>
      </c>
      <c r="EI92" s="30">
        <v>37.85886335886336</v>
      </c>
      <c r="EJ92" s="30">
        <v>9.5519707978724373</v>
      </c>
      <c r="EK92" s="30">
        <v>62.14113664113664</v>
      </c>
      <c r="EL92" s="30">
        <v>-1.547790159679344</v>
      </c>
      <c r="EM92" s="30">
        <v>-1.6866338276512571</v>
      </c>
      <c r="EN92" s="30">
        <v>0.14468449208392631</v>
      </c>
      <c r="EO92" s="30">
        <v>0.75</v>
      </c>
    </row>
    <row r="93" ht="14.25">
      <c r="A93" s="42" t="s">
        <v>139</v>
      </c>
      <c r="B93" s="43">
        <v>2</v>
      </c>
      <c r="C93" s="43">
        <v>11.109999999999999</v>
      </c>
      <c r="D93" s="30">
        <v>0.47228571428571425</v>
      </c>
      <c r="E93" s="30">
        <v>0.64628571428571424</v>
      </c>
      <c r="F93" s="30">
        <v>1.1185714285714288</v>
      </c>
      <c r="G93" s="30">
        <v>0</v>
      </c>
      <c r="H93" s="30">
        <v>9.7004198616977337</v>
      </c>
      <c r="I93" s="30">
        <v>17.734807642526583</v>
      </c>
      <c r="J93" s="30">
        <v>0.20999999999999999</v>
      </c>
      <c r="K93" s="30">
        <v>42.100871446525836</v>
      </c>
      <c r="L93" s="30">
        <f>J93/F93</f>
        <v>0.18773946360153251</v>
      </c>
      <c r="M93" s="30">
        <v>-1.5094112557294288</v>
      </c>
      <c r="N93" s="31">
        <v>0.17060729462577742</v>
      </c>
      <c r="O93" s="30">
        <v>0.39333333333333337</v>
      </c>
      <c r="P93" s="30">
        <v>0.4366666666666667</v>
      </c>
      <c r="Q93" s="30">
        <v>0.83066666666666678</v>
      </c>
      <c r="R93" s="30">
        <v>0.00066666666666666664</v>
      </c>
      <c r="S93" s="30">
        <v>10.154935873591642</v>
      </c>
      <c r="T93" s="30">
        <v>17.033187092564116</v>
      </c>
      <c r="U93" s="30">
        <v>0.17133333333333334</v>
      </c>
      <c r="V93" s="30">
        <v>42.6266745309415</v>
      </c>
      <c r="W93" s="30">
        <f>U93/Q93</f>
        <v>0.2062600321027287</v>
      </c>
      <c r="X93" s="30">
        <v>-1.5272630437464905</v>
      </c>
      <c r="Y93" s="31">
        <v>0.21406571719577122</v>
      </c>
      <c r="Z93" s="32">
        <f>F93-Q93</f>
        <v>0.287904761904762</v>
      </c>
      <c r="AA93" s="30">
        <v>1.161</v>
      </c>
      <c r="AB93" s="30">
        <v>2.3340000000000001</v>
      </c>
      <c r="AC93" s="30">
        <v>0.0090000000000000011</v>
      </c>
      <c r="AD93" s="30">
        <v>0.61560000000000004</v>
      </c>
      <c r="AE93" s="30">
        <v>0.5454</v>
      </c>
      <c r="AF93" s="30">
        <v>11.709430179767304</v>
      </c>
      <c r="AG93" s="30">
        <f>AF93/AA93</f>
        <v>10.085641843038161</v>
      </c>
      <c r="AH93" s="30">
        <v>-2.3492178921718199</v>
      </c>
      <c r="AI93" s="44">
        <f>(AE93/AA93)*100</f>
        <v>46.97674418604651</v>
      </c>
      <c r="AJ93" s="30">
        <v>1.2635999999999998</v>
      </c>
      <c r="AK93" s="30">
        <v>2.4624000000000001</v>
      </c>
      <c r="AL93" s="30">
        <v>0.017400000000000006</v>
      </c>
      <c r="AM93" s="30">
        <v>0.64079999999999993</v>
      </c>
      <c r="AN93" s="30">
        <v>0.62280000000000002</v>
      </c>
      <c r="AO93" s="30">
        <v>11.898037398602099</v>
      </c>
      <c r="AP93" s="30">
        <f>AN93/AJ93</f>
        <v>0.49287749287749294</v>
      </c>
      <c r="AQ93" s="30">
        <v>-2.488841873038627</v>
      </c>
      <c r="AR93" s="45">
        <f>(AN93/AJ93)*100</f>
        <v>49.287749287749293</v>
      </c>
      <c r="AS93" s="46">
        <f>AJ93-AA93</f>
        <v>0.1025999999999998</v>
      </c>
      <c r="AT93" s="46">
        <f>AN93-AE93</f>
        <v>0.077400000000000024</v>
      </c>
      <c r="AU93" s="30">
        <v>0.5125312199148444</v>
      </c>
      <c r="AV93" s="30">
        <v>0.27145942390695665</v>
      </c>
      <c r="AW93" s="30">
        <v>0.53431294721211475</v>
      </c>
      <c r="AX93" s="31">
        <v>0.53445624069545339</v>
      </c>
      <c r="AY93" s="30">
        <v>0.90559999999999996</v>
      </c>
      <c r="AZ93" s="30">
        <v>0.48959999999999998</v>
      </c>
      <c r="BA93" s="30">
        <v>8.4091753875776689</v>
      </c>
      <c r="BB93" s="30">
        <v>9.5533652936805087</v>
      </c>
      <c r="BC93" s="39">
        <v>-2.2247252734638652</v>
      </c>
      <c r="BD93" s="30">
        <v>0.97440000000000015</v>
      </c>
      <c r="BE93" s="30">
        <v>0.53760000000000008</v>
      </c>
      <c r="BF93" s="30">
        <v>16.420888597564222</v>
      </c>
      <c r="BG93" s="30">
        <v>17.302624352076037</v>
      </c>
      <c r="BH93" s="39">
        <v>-2.0920265356047287</v>
      </c>
      <c r="BI93" s="30">
        <v>1.5132000000000001</v>
      </c>
      <c r="BJ93" s="30">
        <v>0.76680000000000015</v>
      </c>
      <c r="BK93" s="30">
        <v>27.590754197497915</v>
      </c>
      <c r="BL93" s="30">
        <v>18.271782444061436</v>
      </c>
      <c r="BM93" s="39">
        <v>-2.2434338168888908</v>
      </c>
      <c r="BN93" s="30">
        <v>1.3548000000000002</v>
      </c>
      <c r="BO93" s="30">
        <v>0.69719999999999993</v>
      </c>
      <c r="BP93" s="30">
        <v>36.421146426702379</v>
      </c>
      <c r="BQ93" s="30">
        <v>26.91339971174822</v>
      </c>
      <c r="BR93" s="39">
        <v>-2.0621485386285854</v>
      </c>
      <c r="BS93" s="30">
        <v>1.3188</v>
      </c>
      <c r="BT93" s="30">
        <v>0.68159999999999998</v>
      </c>
      <c r="BU93" s="30">
        <v>44.944539543230405</v>
      </c>
      <c r="BV93" s="30">
        <v>34.258392563294436</v>
      </c>
      <c r="BW93" s="39">
        <v>-2.1163803239600179</v>
      </c>
      <c r="BX93" s="30">
        <v>0.10772725441711573</v>
      </c>
      <c r="BY93" s="30">
        <v>0.36903785290662672</v>
      </c>
      <c r="BZ93" s="30">
        <v>0.47220190149856189</v>
      </c>
      <c r="CA93" s="30">
        <v>0.67025000000000001</v>
      </c>
      <c r="CB93" s="30">
        <v>0.36899999999999999</v>
      </c>
      <c r="CC93" s="30">
        <v>0.30125000000000002</v>
      </c>
      <c r="CD93" s="30">
        <v>9.0113034651648842</v>
      </c>
      <c r="CE93" s="30">
        <v>24.634048216192156</v>
      </c>
      <c r="CF93" s="30">
        <v>0.051249999999999997</v>
      </c>
      <c r="CG93" s="30">
        <v>3.1615006744341594</v>
      </c>
      <c r="CH93" s="30">
        <v>0.15150000000000002</v>
      </c>
      <c r="CI93" s="30">
        <v>0.064500000000000002</v>
      </c>
      <c r="CJ93" s="30">
        <v>0.21749999999999997</v>
      </c>
      <c r="CK93" s="30">
        <v>41.342618341366958</v>
      </c>
      <c r="CL93" s="30">
        <v>17.657865735590988</v>
      </c>
      <c r="CM93" s="30">
        <v>58.657381658633042</v>
      </c>
      <c r="CN93" s="30">
        <v>-1.417167710933112</v>
      </c>
      <c r="CO93" s="30">
        <v>-1.3436539826706182</v>
      </c>
      <c r="CP93" s="30">
        <v>0.091526838844542477</v>
      </c>
      <c r="CQ93" s="31">
        <v>0</v>
      </c>
      <c r="CR93" s="30">
        <v>0.85500000000000009</v>
      </c>
      <c r="CS93" s="30">
        <v>0.50700000000000001</v>
      </c>
      <c r="CT93" s="30">
        <v>0.34799999999999998</v>
      </c>
      <c r="CU93" s="30">
        <v>16.838708556558409</v>
      </c>
      <c r="CV93" s="30">
        <v>33.249407295382412</v>
      </c>
      <c r="CW93" s="30">
        <v>0.039</v>
      </c>
      <c r="CX93" s="30">
        <v>4.0658351245630584</v>
      </c>
      <c r="CY93" s="30">
        <v>0.16800000000000001</v>
      </c>
      <c r="CZ93" s="30">
        <v>0.070500000000000007</v>
      </c>
      <c r="DA93" s="30">
        <v>0.33900000000000002</v>
      </c>
      <c r="DB93" s="30">
        <v>33.124537063023261</v>
      </c>
      <c r="DC93" s="30">
        <v>13.917590457354612</v>
      </c>
      <c r="DD93" s="30">
        <v>66.875462936976731</v>
      </c>
      <c r="DE93" s="30">
        <v>-1.4622952556306317</v>
      </c>
      <c r="DF93" s="30">
        <v>-1.3700494283050895</v>
      </c>
      <c r="DG93" s="30">
        <v>0.18712280614537985</v>
      </c>
      <c r="DH93" s="30">
        <v>0</v>
      </c>
      <c r="DI93" s="30">
        <v>0.93650000000000022</v>
      </c>
      <c r="DJ93" s="30">
        <v>0.55800000000000016</v>
      </c>
      <c r="DK93" s="30">
        <v>0.40700000000000003</v>
      </c>
      <c r="DL93" s="30">
        <v>9.0031114399860233</v>
      </c>
      <c r="DM93" s="30">
        <v>16.755904123760104</v>
      </c>
      <c r="DN93" s="30">
        <v>0.068500000000000005</v>
      </c>
      <c r="DO93" s="30">
        <v>5.1531053471393573</v>
      </c>
      <c r="DP93" s="30">
        <v>0.16200000000000001</v>
      </c>
      <c r="DQ93" s="30">
        <v>0.066000000000000003</v>
      </c>
      <c r="DR93" s="30">
        <v>0.39600000000000007</v>
      </c>
      <c r="DS93" s="30">
        <v>31.352129493537547</v>
      </c>
      <c r="DT93" s="30">
        <v>12.937749247973851</v>
      </c>
      <c r="DU93" s="30">
        <v>68.647870506462453</v>
      </c>
      <c r="DV93" s="30">
        <v>-1.4158508690614617</v>
      </c>
      <c r="DW93" s="30">
        <v>-1.36217886010391</v>
      </c>
      <c r="DX93" s="30">
        <v>0.14138099947326227</v>
      </c>
      <c r="DY93" s="30">
        <v>0.75</v>
      </c>
      <c r="DZ93" s="30">
        <v>1.00275</v>
      </c>
      <c r="EA93" s="30">
        <v>0.621</v>
      </c>
      <c r="EB93" s="30">
        <v>0.38175000000000003</v>
      </c>
      <c r="EC93" s="30">
        <v>16.998686810761065</v>
      </c>
      <c r="ED93" s="30">
        <v>27.516291954063473</v>
      </c>
      <c r="EE93" s="30">
        <v>0.068250000000000005</v>
      </c>
      <c r="EF93" s="30">
        <v>0.18750000000000003</v>
      </c>
      <c r="EG93" s="30">
        <v>0.070500000000000007</v>
      </c>
      <c r="EH93" s="30">
        <v>0.4335</v>
      </c>
      <c r="EI93" s="30">
        <v>30.197218534881678</v>
      </c>
      <c r="EJ93" s="30">
        <v>11.464497665997879</v>
      </c>
      <c r="EK93" s="30">
        <v>69.802781465118329</v>
      </c>
      <c r="EL93" s="30">
        <v>-1.4689997859789996</v>
      </c>
      <c r="EM93" s="30">
        <v>-1.4045591356091784</v>
      </c>
      <c r="EN93" s="30">
        <v>0.29978698536959281</v>
      </c>
      <c r="EO93" s="30">
        <v>0</v>
      </c>
    </row>
    <row r="94" ht="14.25">
      <c r="A94" s="42" t="s">
        <v>139</v>
      </c>
      <c r="B94" s="43">
        <v>1</v>
      </c>
      <c r="C94" s="80">
        <v>11.5</v>
      </c>
      <c r="D94" s="30">
        <v>1.0882499999999999</v>
      </c>
      <c r="E94" s="30">
        <v>1.1092500000000001</v>
      </c>
      <c r="F94" s="30">
        <v>2.4570000000000003</v>
      </c>
      <c r="G94" s="30">
        <v>0.25950000000000001</v>
      </c>
      <c r="H94" s="30">
        <v>10.639411880345422</v>
      </c>
      <c r="I94" s="30">
        <v>17.889214916700119</v>
      </c>
      <c r="J94" s="30">
        <v>0.57399999999999995</v>
      </c>
      <c r="K94" s="30">
        <v>55.658015138728615</v>
      </c>
      <c r="L94" s="30">
        <f>J94/F94</f>
        <v>0.23361823361823358</v>
      </c>
      <c r="M94" s="30">
        <v>-1.6794078913402397</v>
      </c>
      <c r="N94" s="31">
        <v>0.33905018060563474</v>
      </c>
      <c r="O94" s="30">
        <v>0.90525000000000011</v>
      </c>
      <c r="P94" s="30">
        <v>0.74325000000000008</v>
      </c>
      <c r="Q94" s="30">
        <v>1.7572500000000004</v>
      </c>
      <c r="R94" s="30">
        <v>0.10875</v>
      </c>
      <c r="S94" s="30">
        <v>10.677112639166811</v>
      </c>
      <c r="T94" s="30">
        <v>17.745975854092933</v>
      </c>
      <c r="U94" s="30">
        <v>0.35250000000000004</v>
      </c>
      <c r="V94" s="30">
        <v>39.406819182705753</v>
      </c>
      <c r="W94" s="30">
        <f>U94/Q94</f>
        <v>0.20059752454118648</v>
      </c>
      <c r="X94" s="30">
        <v>-1.6048908166398417</v>
      </c>
      <c r="Y94" s="31">
        <v>0.2293577306673486</v>
      </c>
      <c r="Z94" s="32">
        <f>F94-Q94</f>
        <v>0.69974999999999987</v>
      </c>
      <c r="AA94" s="30">
        <v>2.4493999999999998</v>
      </c>
      <c r="AB94" s="30">
        <v>4.9916</v>
      </c>
      <c r="AC94" s="30">
        <v>0.021400000000000002</v>
      </c>
      <c r="AD94" s="30">
        <v>1.2557999999999998</v>
      </c>
      <c r="AE94" s="30">
        <v>1.1936000000000002</v>
      </c>
      <c r="AF94" s="30">
        <v>11.633234077105095</v>
      </c>
      <c r="AG94" s="30">
        <f>AF94/AA94</f>
        <v>4.7494219307198078</v>
      </c>
      <c r="AH94" s="30">
        <v>-2.4185627442941744</v>
      </c>
      <c r="AI94" s="44">
        <f>(AE94/AA94)*100</f>
        <v>48.730301298277141</v>
      </c>
      <c r="AJ94" s="30">
        <v>2.1186666666666669</v>
      </c>
      <c r="AK94" s="30">
        <v>4.1286666666666676</v>
      </c>
      <c r="AL94" s="30">
        <v>0.027333333333333338</v>
      </c>
      <c r="AM94" s="30">
        <v>1.1093333333333335</v>
      </c>
      <c r="AN94" s="30">
        <v>1.0093333333333334</v>
      </c>
      <c r="AO94" s="30">
        <v>11.913210232565914</v>
      </c>
      <c r="AP94" s="30">
        <f>AN94/AJ94</f>
        <v>0.47640025173064821</v>
      </c>
      <c r="AQ94" s="30">
        <v>-2.38928262737143</v>
      </c>
      <c r="AR94" s="45">
        <f>(AN94/AJ94)*100</f>
        <v>47.640025173064821</v>
      </c>
      <c r="AS94" s="46">
        <f>AJ94-AA94</f>
        <v>-0.33073333333333288</v>
      </c>
      <c r="AT94" s="46">
        <f>AN94-AE94</f>
        <v>-0.1842666666666668</v>
      </c>
      <c r="AU94" s="30">
        <v>1.0677157926785219</v>
      </c>
      <c r="AV94" s="30">
        <v>0.49960309033690864</v>
      </c>
      <c r="AW94" s="30">
        <v>0.59026290539481929</v>
      </c>
      <c r="AX94" s="31">
        <v>0.59063231001016037</v>
      </c>
      <c r="AY94" s="30">
        <v>3.2915999999999999</v>
      </c>
      <c r="AZ94" s="30">
        <v>1.508</v>
      </c>
      <c r="BA94" s="30">
        <v>10.574862082653205</v>
      </c>
      <c r="BB94" s="30">
        <v>3.2805332823470059</v>
      </c>
      <c r="BC94" s="39">
        <v>-2.5974786190607304</v>
      </c>
      <c r="BD94" s="30">
        <v>4.0847999999999995</v>
      </c>
      <c r="BE94" s="30">
        <v>2.0016000000000003</v>
      </c>
      <c r="BF94" s="30">
        <v>20.035148907673253</v>
      </c>
      <c r="BG94" s="30">
        <v>4.9529615191324305</v>
      </c>
      <c r="BH94" s="39">
        <v>-2.5258777790926601</v>
      </c>
      <c r="BI94" s="30">
        <v>7.119600000000001</v>
      </c>
      <c r="BJ94" s="30">
        <v>3.3695999999999997</v>
      </c>
      <c r="BK94" s="30">
        <v>29.652847504262787</v>
      </c>
      <c r="BL94" s="30">
        <v>4.1966762816315626</v>
      </c>
      <c r="BM94" s="39">
        <v>-2.6175449888862183</v>
      </c>
      <c r="BN94" s="30">
        <v>6.7356000000000007</v>
      </c>
      <c r="BO94" s="30">
        <v>3.024</v>
      </c>
      <c r="BP94" s="30">
        <v>39.289866026491126</v>
      </c>
      <c r="BQ94" s="30">
        <v>6.1511005789896149</v>
      </c>
      <c r="BR94" s="39">
        <v>-2.6432801881568335</v>
      </c>
      <c r="BS94" s="30">
        <v>6.8676000000000004</v>
      </c>
      <c r="BT94" s="30">
        <v>3.2208000000000006</v>
      </c>
      <c r="BU94" s="30">
        <v>48.357879365500061</v>
      </c>
      <c r="BV94" s="30">
        <v>7.3235966106050885</v>
      </c>
      <c r="BW94" s="39">
        <v>-2.3877478207942611</v>
      </c>
      <c r="BX94" s="30">
        <v>0.11003236057407882</v>
      </c>
      <c r="BY94" s="30">
        <v>1.2552059085538827</v>
      </c>
      <c r="BZ94" s="30">
        <v>0.065797338572716413</v>
      </c>
      <c r="CA94" s="30">
        <v>1.3880000000000001</v>
      </c>
      <c r="CB94" s="30">
        <v>0.84300000000000019</v>
      </c>
      <c r="CC94" s="30">
        <v>0.54499999999999993</v>
      </c>
      <c r="CD94" s="30">
        <v>8.6558487614545569</v>
      </c>
      <c r="CE94" s="30">
        <v>10.581340972826597</v>
      </c>
      <c r="CF94" s="30">
        <v>0.040000000000000001</v>
      </c>
      <c r="CG94" s="30">
        <v>3.1078488442278278</v>
      </c>
      <c r="CH94" s="30">
        <v>0.38550000000000001</v>
      </c>
      <c r="CI94" s="30">
        <v>0.24900000000000003</v>
      </c>
      <c r="CJ94" s="30">
        <v>0.45750000000000002</v>
      </c>
      <c r="CK94" s="30">
        <v>44.216218971359282</v>
      </c>
      <c r="CL94" s="30">
        <v>28.850508919625337</v>
      </c>
      <c r="CM94" s="30">
        <v>55.783781028640718</v>
      </c>
      <c r="CN94" s="30">
        <v>-1.5167416817432708</v>
      </c>
      <c r="CO94" s="30">
        <v>-1.5470473477726796</v>
      </c>
      <c r="CP94" s="30">
        <v>0.050102014277632514</v>
      </c>
      <c r="CQ94" s="31">
        <v>0.5</v>
      </c>
      <c r="CR94" s="30">
        <v>2.00725</v>
      </c>
      <c r="CS94" s="30">
        <v>1.4730000000000003</v>
      </c>
      <c r="CT94" s="30">
        <v>0.53425</v>
      </c>
      <c r="CU94" s="30">
        <v>17.399789105881581</v>
      </c>
      <c r="CV94" s="30">
        <v>14.221218844961726</v>
      </c>
      <c r="CW94" s="30">
        <v>0.050750000000000003</v>
      </c>
      <c r="CX94" s="30">
        <v>4.0822332529021663</v>
      </c>
      <c r="CY94" s="30">
        <v>0.65100000000000002</v>
      </c>
      <c r="CZ94" s="30">
        <v>0.11850000000000001</v>
      </c>
      <c r="DA94" s="30">
        <v>0.82200000000000029</v>
      </c>
      <c r="DB94" s="30">
        <v>42.833533102870121</v>
      </c>
      <c r="DC94" s="30">
        <v>10.647943983579342</v>
      </c>
      <c r="DD94" s="30">
        <v>57.166466897129887</v>
      </c>
      <c r="DE94" s="30">
        <v>-1.694196733004619</v>
      </c>
      <c r="DF94" s="30">
        <v>-1.711551324971553</v>
      </c>
      <c r="DG94" s="30">
        <v>0.45213254533750857</v>
      </c>
      <c r="DH94" s="30">
        <v>1.75</v>
      </c>
      <c r="DI94" s="30">
        <v>1.8212499999999998</v>
      </c>
      <c r="DJ94" s="30">
        <v>1.452</v>
      </c>
      <c r="DK94" s="30">
        <v>0.47125000000000006</v>
      </c>
      <c r="DL94" s="30">
        <v>8.4605055433482992</v>
      </c>
      <c r="DM94" s="30">
        <v>5.9598917517190886</v>
      </c>
      <c r="DN94" s="30">
        <v>0.028250000000000004</v>
      </c>
      <c r="DO94" s="30">
        <v>5.1539853137996037</v>
      </c>
      <c r="DP94" s="30">
        <v>0.37050000000000005</v>
      </c>
      <c r="DQ94" s="30">
        <v>0.28800000000000003</v>
      </c>
      <c r="DR94" s="30">
        <v>1.0529999999999999</v>
      </c>
      <c r="DS94" s="30">
        <v>28.04679858702945</v>
      </c>
      <c r="DT94" s="30">
        <v>21.747864576528087</v>
      </c>
      <c r="DU94" s="30">
        <v>71.953201412970543</v>
      </c>
      <c r="DV94" s="30">
        <v>-1.6296002088086012</v>
      </c>
      <c r="DW94" s="30">
        <v>-1.5580010197796947</v>
      </c>
      <c r="DX94" s="30">
        <v>0.099926801717911545</v>
      </c>
      <c r="DY94" s="30">
        <v>2.5</v>
      </c>
      <c r="DZ94" s="30">
        <v>1.83175</v>
      </c>
      <c r="EA94" s="30">
        <v>1.407</v>
      </c>
      <c r="EB94" s="30">
        <v>0.53574999999999995</v>
      </c>
      <c r="EC94" s="30">
        <v>17.344764605579201</v>
      </c>
      <c r="ED94" s="30">
        <v>12.858597544813236</v>
      </c>
      <c r="EE94" s="30">
        <v>0.06275</v>
      </c>
      <c r="EF94" s="30">
        <v>0.6180000000000001</v>
      </c>
      <c r="EG94" s="30">
        <v>0.318</v>
      </c>
      <c r="EH94" s="30">
        <v>0.82799999999999996</v>
      </c>
      <c r="EI94" s="30">
        <v>47.386010391048984</v>
      </c>
      <c r="EJ94" s="30">
        <v>23.484045924599283</v>
      </c>
      <c r="EK94" s="30">
        <v>52.613989608951009</v>
      </c>
      <c r="EL94" s="30">
        <v>-1.6756069645112208</v>
      </c>
      <c r="EM94" s="30">
        <v>-1.7594224010413124</v>
      </c>
      <c r="EN94" s="30">
        <v>0.22095470712885384</v>
      </c>
      <c r="EO94" s="30">
        <v>1.75</v>
      </c>
    </row>
    <row r="95" ht="14.25">
      <c r="A95" s="81" t="s">
        <v>138</v>
      </c>
      <c r="B95" s="82">
        <v>1</v>
      </c>
      <c r="C95" s="83">
        <v>11.800000000000001</v>
      </c>
      <c r="D95" s="67">
        <v>0.7632000000000001</v>
      </c>
      <c r="E95" s="67">
        <v>1.0614000000000001</v>
      </c>
      <c r="F95" s="67">
        <v>1.9739999999999998</v>
      </c>
      <c r="G95" s="67">
        <v>0.14940000000000003</v>
      </c>
      <c r="H95" s="67">
        <v>10.224562044223834</v>
      </c>
      <c r="I95" s="67">
        <v>17.657475052534529</v>
      </c>
      <c r="J95" s="67">
        <v>0.48720000000000008</v>
      </c>
      <c r="K95" s="67">
        <v>62.888398781770505</v>
      </c>
      <c r="L95" s="30">
        <f>J95/F95</f>
        <v>0.24680851063829795</v>
      </c>
      <c r="M95" s="67">
        <v>-1.4839510389462007</v>
      </c>
      <c r="N95" s="84">
        <v>0.090825845594802931</v>
      </c>
      <c r="O95" s="69">
        <v>0.69375000000000009</v>
      </c>
      <c r="P95" s="67">
        <v>0.91125000000000012</v>
      </c>
      <c r="Q95" s="67">
        <v>1.74525</v>
      </c>
      <c r="R95" s="67">
        <v>0.14025000000000004</v>
      </c>
      <c r="S95" s="67">
        <v>10.086044631470093</v>
      </c>
      <c r="T95" s="67">
        <v>17.030513545246126</v>
      </c>
      <c r="U95" s="67">
        <v>0.43200000000000005</v>
      </c>
      <c r="V95" s="67">
        <v>60.424079772533041</v>
      </c>
      <c r="W95" s="30">
        <f>U95/Q95</f>
        <v>0.24752900730554364</v>
      </c>
      <c r="X95" s="67">
        <v>-1.4762286733356</v>
      </c>
      <c r="Y95" s="84">
        <v>0.056796339989283684</v>
      </c>
      <c r="Z95" s="85">
        <f>F95-Q95</f>
        <v>0.22874999999999979</v>
      </c>
      <c r="AA95" s="30">
        <v>3.2273333333333332</v>
      </c>
      <c r="AB95" s="30">
        <v>7.0284444444444443</v>
      </c>
      <c r="AC95" s="30">
        <v>0.02933333333333334</v>
      </c>
      <c r="AD95" s="30">
        <v>1.7355555555555557</v>
      </c>
      <c r="AE95" s="30">
        <v>1.4917777777777776</v>
      </c>
      <c r="AF95" s="30">
        <v>11.507396719945737</v>
      </c>
      <c r="AG95" s="30">
        <f>AF95/AA95</f>
        <v>3.5656052633585222</v>
      </c>
      <c r="AH95" s="30">
        <v>-2.6744806302976376</v>
      </c>
      <c r="AI95" s="44">
        <f>(AE95/AA95)*100</f>
        <v>46.223232114576881</v>
      </c>
      <c r="AJ95" s="30">
        <v>3.4764000000000004</v>
      </c>
      <c r="AK95" s="30">
        <v>6.2034000000000002</v>
      </c>
      <c r="AL95" s="30">
        <v>0.033000000000000008</v>
      </c>
      <c r="AM95" s="30">
        <v>1.9008000000000003</v>
      </c>
      <c r="AN95" s="30">
        <v>1.5756000000000001</v>
      </c>
      <c r="AO95" s="30">
        <v>11.408904297726043</v>
      </c>
      <c r="AP95" s="30">
        <f>AN95/AJ95</f>
        <v>0.45322747670003449</v>
      </c>
      <c r="AQ95" s="30">
        <v>-2.8010682490688761</v>
      </c>
      <c r="AR95" s="45">
        <f>(AN95/AJ95)*100</f>
        <v>45.322747670003452</v>
      </c>
      <c r="AS95" s="46">
        <f>AJ95-AA95</f>
        <v>0.24906666666666721</v>
      </c>
      <c r="AT95" s="46">
        <f>AN95-AE95</f>
        <v>0.083822222222222464</v>
      </c>
      <c r="AU95" s="30">
        <v>4.423108013611639</v>
      </c>
      <c r="AV95" s="30">
        <v>0.18236559819246717</v>
      </c>
      <c r="AW95" s="30">
        <v>0.2046452202973793</v>
      </c>
      <c r="AX95" s="31">
        <v>0.20480871263346917</v>
      </c>
      <c r="AY95" s="86">
        <v>6.2607999999999997</v>
      </c>
      <c r="AZ95" s="87">
        <v>3.1696</v>
      </c>
      <c r="BA95" s="87">
        <v>10.000471685840424</v>
      </c>
      <c r="BB95" s="87">
        <v>1.640935738553559</v>
      </c>
      <c r="BC95" s="88">
        <v>-2.7502655006600647</v>
      </c>
      <c r="BD95" s="66">
        <v>7.5420000000000016</v>
      </c>
      <c r="BE95" s="67">
        <v>3.4319999999999999</v>
      </c>
      <c r="BF95" s="67">
        <v>19.575938907961266</v>
      </c>
      <c r="BG95" s="67">
        <v>2.6362099943363555</v>
      </c>
      <c r="BH95" s="89">
        <v>-2.7698687119626069</v>
      </c>
      <c r="BI95" s="66">
        <v>9.4392000000000014</v>
      </c>
      <c r="BJ95" s="67">
        <v>4.1063999999999998</v>
      </c>
      <c r="BK95" s="67">
        <v>29.052519874704377</v>
      </c>
      <c r="BL95" s="67">
        <v>3.2436624147773245</v>
      </c>
      <c r="BM95" s="89">
        <v>-2.8382128989092359</v>
      </c>
      <c r="BN95" s="66">
        <v>8.5785000000000018</v>
      </c>
      <c r="BO95" s="67">
        <v>3.6419999999999999</v>
      </c>
      <c r="BP95" s="67">
        <v>38.02541266520322</v>
      </c>
      <c r="BQ95" s="67">
        <v>4.5831979833637817</v>
      </c>
      <c r="BR95" s="89">
        <v>-2.4401013936086109</v>
      </c>
      <c r="BS95" s="66">
        <v>8.2200000000000006</v>
      </c>
      <c r="BT95" s="67">
        <v>3.8543999999999996</v>
      </c>
      <c r="BU95" s="67">
        <v>47.692777415683302</v>
      </c>
      <c r="BV95" s="67">
        <v>5.920099820814106</v>
      </c>
      <c r="BW95" s="89">
        <v>-2.472155604834442</v>
      </c>
      <c r="BX95" s="90">
        <v>0.1351450007044209</v>
      </c>
      <c r="BY95" s="91">
        <v>0.66757772352133193</v>
      </c>
      <c r="BZ95" s="91">
        <v>0.29447776913599455</v>
      </c>
      <c r="CA95" s="30">
        <v>1.0070000000000001</v>
      </c>
      <c r="CB95" s="30">
        <v>0.72749999999999992</v>
      </c>
      <c r="CC95" s="30">
        <v>0.27949999999999997</v>
      </c>
      <c r="CD95" s="30">
        <v>8.2503495402314044</v>
      </c>
      <c r="CE95" s="30">
        <v>11.761568203721961</v>
      </c>
      <c r="CF95" s="30">
        <v>0.050500000000000003</v>
      </c>
      <c r="CG95" s="30">
        <v>3.0375962227413207</v>
      </c>
      <c r="CH95" s="30">
        <v>0.318</v>
      </c>
      <c r="CI95" s="30">
        <v>0.16500000000000001</v>
      </c>
      <c r="CJ95" s="30">
        <v>0.40950000000000009</v>
      </c>
      <c r="CK95" s="30">
        <v>44.57208800633461</v>
      </c>
      <c r="CL95" s="30">
        <v>22.440674064208764</v>
      </c>
      <c r="CM95" s="30">
        <v>55.427911993665383</v>
      </c>
      <c r="CN95" s="30">
        <v>-1.4248740050309849</v>
      </c>
      <c r="CO95" s="30">
        <v>-1.5282222859086256</v>
      </c>
      <c r="CP95" s="30">
        <v>0.083541854697216117</v>
      </c>
      <c r="CQ95" s="31">
        <v>0.25</v>
      </c>
      <c r="CR95" s="30">
        <v>1.3722500000000002</v>
      </c>
      <c r="CS95" s="30">
        <v>0.96899999999999997</v>
      </c>
      <c r="CT95" s="30">
        <v>0.40325</v>
      </c>
      <c r="CU95" s="30">
        <v>16.499172510762261</v>
      </c>
      <c r="CV95" s="30">
        <v>18.784676483553117</v>
      </c>
      <c r="CW95" s="30">
        <v>0.048249999999999994</v>
      </c>
      <c r="CX95" s="30">
        <v>4.038314902211563</v>
      </c>
      <c r="CY95" s="30">
        <v>0.52350000000000008</v>
      </c>
      <c r="CZ95" s="30">
        <v>0.19650000000000004</v>
      </c>
      <c r="DA95" s="30">
        <v>0.4454999999999999</v>
      </c>
      <c r="DB95" s="30">
        <v>48.797226513897719</v>
      </c>
      <c r="DC95" s="30">
        <v>16.475374756685785</v>
      </c>
      <c r="DD95" s="30">
        <v>51.202773486102274</v>
      </c>
      <c r="DE95" s="30">
        <v>-1.5247929879993039</v>
      </c>
      <c r="DF95" s="30">
        <v>-1.6048587138812138</v>
      </c>
      <c r="DG95" s="30">
        <v>0.1618559208178473</v>
      </c>
      <c r="DH95" s="30">
        <v>0.25</v>
      </c>
      <c r="DI95" s="30">
        <v>1.24125</v>
      </c>
      <c r="DJ95" s="30">
        <v>0.9225000000000001</v>
      </c>
      <c r="DK95" s="30">
        <v>0.31874999999999998</v>
      </c>
      <c r="DL95" s="30">
        <v>8.6145303889867648</v>
      </c>
      <c r="DM95" s="30">
        <v>9.3476705156464348</v>
      </c>
      <c r="DN95" s="30">
        <v>0.03075</v>
      </c>
      <c r="DO95" s="30">
        <v>5.0868541567717056</v>
      </c>
      <c r="DP95" s="30">
        <v>0.2475</v>
      </c>
      <c r="DQ95" s="30">
        <v>0.11850000000000001</v>
      </c>
      <c r="DR95" s="30">
        <v>0.67500000000000004</v>
      </c>
      <c r="DS95" s="30">
        <v>26.917695445962472</v>
      </c>
      <c r="DT95" s="30">
        <v>12.880740936156304</v>
      </c>
      <c r="DU95" s="30">
        <v>73.082304554037535</v>
      </c>
      <c r="DV95" s="30">
        <v>-1.4751758110633144</v>
      </c>
      <c r="DW95" s="30">
        <v>-1.4616645234755983</v>
      </c>
      <c r="DX95" s="30">
        <v>0.16456317882663843</v>
      </c>
      <c r="DY95" s="30">
        <v>1</v>
      </c>
      <c r="DZ95" s="30">
        <v>1.512</v>
      </c>
      <c r="EA95" s="30">
        <v>1.1175000000000002</v>
      </c>
      <c r="EB95" s="30">
        <v>0.39450000000000007</v>
      </c>
      <c r="EC95" s="30">
        <v>16.75729236254536</v>
      </c>
      <c r="ED95" s="30">
        <v>15.329134185023033</v>
      </c>
      <c r="EE95" s="30">
        <v>0.076499999999999999</v>
      </c>
      <c r="EF95" s="30">
        <v>0.27750000000000002</v>
      </c>
      <c r="EG95" s="30">
        <v>0.10200000000000001</v>
      </c>
      <c r="EH95" s="30">
        <v>0.84000000000000008</v>
      </c>
      <c r="EI95" s="30">
        <v>25.649884693265342</v>
      </c>
      <c r="EJ95" s="30">
        <v>9.129770855207239</v>
      </c>
      <c r="EK95" s="30">
        <v>74.350115306734665</v>
      </c>
      <c r="EL95" s="30">
        <v>-1.5266468275507799</v>
      </c>
      <c r="EM95" s="30">
        <v>-1.5125269494409308</v>
      </c>
      <c r="EN95" s="30">
        <v>0.15908485392604638</v>
      </c>
      <c r="EO95" s="30">
        <v>1.25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lessThan" id="{00C70032-00E5-4B99-93C3-00F0006600D1}">
            <xm:f>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Z2:Z95</xm:sqref>
        </x14:conditionalFormatting>
        <x14:conditionalFormatting xmlns:xm="http://schemas.microsoft.com/office/excel/2006/main">
          <x14:cfRule type="cellIs" priority="1" operator="lessThan" id="{00C900B4-0047-4C20-ADEA-007100B20097}">
            <xm:f>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AS2:AT95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8" activeCellId="0" sqref="A18"/>
    </sheetView>
  </sheetViews>
  <sheetFormatPr baseColWidth="10" defaultRowHeight="14.4"/>
  <cols>
    <col customWidth="1" min="1" max="1" style="43" width="6.33203125"/>
    <col bestFit="1" customWidth="1" min="2" max="2" style="43" width="5.33203125"/>
    <col bestFit="1" customWidth="1" min="3" max="3" width="6"/>
    <col customWidth="1" min="4" max="4" width="9.109375"/>
    <col customWidth="1" min="5" max="5" width="8.44140625"/>
    <col customWidth="1" min="6" max="6" width="9.6640625"/>
    <col customWidth="1" min="7" max="8" width="6.6640625"/>
    <col customWidth="1" min="9" max="9" width="6.44140625"/>
    <col customWidth="1" min="10" max="10" width="7.44140625"/>
    <col customWidth="1" min="11" max="12" width="8"/>
    <col customWidth="1" min="13" max="13" width="6.88671875"/>
    <col customWidth="1" min="14" max="14" width="10.109375"/>
    <col bestFit="1" customWidth="1" min="15" max="16" width="10.88671875"/>
    <col bestFit="1" customWidth="1" min="17" max="17" width="11.5546875"/>
    <col bestFit="1" customWidth="1" min="18" max="18" width="11.109375"/>
    <col bestFit="1" customWidth="1" min="19" max="20" width="8.33203125"/>
    <col bestFit="1" customWidth="1" min="21" max="21" width="11.5546875"/>
    <col bestFit="1" customWidth="1" min="22" max="22" width="12.6640625"/>
    <col customWidth="1" min="23" max="23" width="12.6640625"/>
    <col bestFit="1" customWidth="1" min="24" max="24" width="11.109375"/>
    <col customWidth="1" min="25" max="25" width="8.88671875"/>
    <col bestFit="1" customWidth="1" min="26" max="26" width="12.5546875"/>
  </cols>
  <sheetData>
    <row r="1" s="92" customFormat="1" ht="58.5" customHeight="1">
      <c r="A1" s="93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7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8" t="s">
        <v>24</v>
      </c>
      <c r="Z1" s="94" t="s">
        <v>25</v>
      </c>
    </row>
    <row r="2" s="95" customFormat="1">
      <c r="A2" s="28" t="s">
        <v>138</v>
      </c>
      <c r="B2" s="96">
        <v>1</v>
      </c>
      <c r="C2" s="29">
        <v>6</v>
      </c>
      <c r="D2" s="30">
        <v>1.9160000000000001</v>
      </c>
      <c r="E2" s="30">
        <v>2.8119999999999998</v>
      </c>
      <c r="F2" s="30">
        <v>4.7400000000000002</v>
      </c>
      <c r="G2" s="30">
        <v>0.012000000000000002</v>
      </c>
      <c r="H2" s="30">
        <v>10.139307712067952</v>
      </c>
      <c r="I2" s="30">
        <v>17.639276167725733</v>
      </c>
      <c r="J2" s="30">
        <v>0.7639999999999999</v>
      </c>
      <c r="K2" s="30">
        <v>41.558075727604681</v>
      </c>
      <c r="L2" s="30">
        <f t="shared" ref="L2:L65" si="0">H2/D2</f>
        <v>5.2919142547327507</v>
      </c>
      <c r="M2" s="30">
        <v>-1.8439709156525845</v>
      </c>
      <c r="N2" s="30">
        <v>0.046627584127210887</v>
      </c>
      <c r="O2" s="97">
        <v>2.0210000000000004</v>
      </c>
      <c r="P2" s="30">
        <v>1.744</v>
      </c>
      <c r="Q2" s="30">
        <v>3.879</v>
      </c>
      <c r="R2" s="30">
        <v>0.114</v>
      </c>
      <c r="S2" s="30">
        <v>9.9501582086766724</v>
      </c>
      <c r="T2" s="30">
        <v>17.734692544983258</v>
      </c>
      <c r="U2" s="30">
        <v>0.69400000000000006</v>
      </c>
      <c r="V2" s="30">
        <v>37.850713372025801</v>
      </c>
      <c r="W2" s="30">
        <f t="shared" ref="W2:W33" si="1">S2/O2</f>
        <v>4.9233835767821228</v>
      </c>
      <c r="X2" s="30">
        <v>-1.8993161189489201</v>
      </c>
      <c r="Y2" s="30">
        <v>0.09846996281735608</v>
      </c>
      <c r="Z2" s="32">
        <f t="shared" ref="Z2:Z33" si="2">D2-O2</f>
        <v>-0.1050000000000002</v>
      </c>
    </row>
    <row r="3">
      <c r="A3" s="42" t="s">
        <v>139</v>
      </c>
      <c r="B3" s="98">
        <v>1</v>
      </c>
      <c r="C3" s="43">
        <v>6</v>
      </c>
      <c r="D3" s="30">
        <v>1.0330000000000001</v>
      </c>
      <c r="E3" s="30">
        <v>1.8259999999999998</v>
      </c>
      <c r="F3" s="30">
        <v>2.8710000000000004</v>
      </c>
      <c r="G3" s="30">
        <v>0.012000000000000002</v>
      </c>
      <c r="H3" s="30">
        <v>10.853873243057953</v>
      </c>
      <c r="I3" s="30">
        <v>18.369669233303615</v>
      </c>
      <c r="J3" s="30">
        <v>0.61799999999999999</v>
      </c>
      <c r="K3" s="30">
        <v>59.999800095586018</v>
      </c>
      <c r="L3" s="30">
        <f t="shared" si="0"/>
        <v>10.50713769899124</v>
      </c>
      <c r="M3" s="30">
        <v>-1.7018936017294444</v>
      </c>
      <c r="N3" s="30">
        <v>0.48665284766703898</v>
      </c>
      <c r="O3" s="97">
        <v>1.07925</v>
      </c>
      <c r="P3" s="30">
        <v>1.3612499999999998</v>
      </c>
      <c r="Q3" s="30">
        <v>2.4405000000000001</v>
      </c>
      <c r="R3" s="30">
        <v>0</v>
      </c>
      <c r="S3" s="30">
        <v>11.215735232031776</v>
      </c>
      <c r="T3" s="30">
        <v>17.148249645419536</v>
      </c>
      <c r="U3" s="30">
        <v>0.58050000000000002</v>
      </c>
      <c r="V3" s="30">
        <v>53.3846780784327</v>
      </c>
      <c r="W3" s="30">
        <f t="shared" si="1"/>
        <v>10.39215680521823</v>
      </c>
      <c r="X3" s="30">
        <v>-1.6686843694863787</v>
      </c>
      <c r="Y3" s="30">
        <v>0.38647034699199784</v>
      </c>
      <c r="Z3" s="32">
        <f t="shared" si="2"/>
        <v>-0.046249999999999902</v>
      </c>
    </row>
    <row r="4">
      <c r="A4" s="42" t="s">
        <v>138</v>
      </c>
      <c r="B4" s="99">
        <v>1</v>
      </c>
      <c r="C4" s="48">
        <v>6</v>
      </c>
      <c r="D4" s="30">
        <v>1.0980000000000001</v>
      </c>
      <c r="E4" s="30">
        <v>1.4026666666666667</v>
      </c>
      <c r="F4" s="30">
        <v>2.742666666666667</v>
      </c>
      <c r="G4" s="30">
        <v>0.24199999999999999</v>
      </c>
      <c r="H4" s="30">
        <v>11.004440273350236</v>
      </c>
      <c r="I4" s="30">
        <v>17.756759743251095</v>
      </c>
      <c r="J4" s="30">
        <v>0.55866666666666676</v>
      </c>
      <c r="K4" s="30">
        <v>51.855667145267262</v>
      </c>
      <c r="L4" s="30">
        <f t="shared" si="0"/>
        <v>10.022258901047573</v>
      </c>
      <c r="M4" s="30">
        <v>-1.6703563674702255</v>
      </c>
      <c r="N4" s="30">
        <v>0.22840876491826215</v>
      </c>
      <c r="O4" s="97">
        <v>1.0049999999999999</v>
      </c>
      <c r="P4" s="30">
        <v>1.2937500000000002</v>
      </c>
      <c r="Q4" s="30">
        <v>2.3205</v>
      </c>
      <c r="R4" s="30">
        <v>0.021749999999999999</v>
      </c>
      <c r="S4" s="30">
        <v>11.019213805789432</v>
      </c>
      <c r="T4" s="30">
        <v>17.826467210801798</v>
      </c>
      <c r="U4" s="30">
        <v>0.49349999999999999</v>
      </c>
      <c r="V4" s="30">
        <v>48.691812784058286</v>
      </c>
      <c r="W4" s="30">
        <f t="shared" si="1"/>
        <v>10.96439184655665</v>
      </c>
      <c r="X4" s="30">
        <v>-1.6066422849611723</v>
      </c>
      <c r="Y4" s="30">
        <v>0.39668413292157284</v>
      </c>
      <c r="Z4" s="32">
        <f t="shared" si="2"/>
        <v>0.093000000000000194</v>
      </c>
    </row>
    <row r="5">
      <c r="A5" s="42" t="s">
        <v>139</v>
      </c>
      <c r="B5" s="98">
        <v>2</v>
      </c>
      <c r="C5" s="43">
        <v>6.0199999999999996</v>
      </c>
      <c r="D5" s="30">
        <v>0.71571428571428564</v>
      </c>
      <c r="E5" s="30">
        <v>0.78342857142857159</v>
      </c>
      <c r="F5" s="30">
        <v>1.5540000000000003</v>
      </c>
      <c r="G5" s="30">
        <v>0.054857142857142861</v>
      </c>
      <c r="H5" s="30">
        <v>10.458926429409535</v>
      </c>
      <c r="I5" s="30">
        <v>17.456381159526767</v>
      </c>
      <c r="J5" s="30">
        <v>0.38914285714285712</v>
      </c>
      <c r="K5" s="30">
        <v>54.235452960186073</v>
      </c>
      <c r="L5" s="30">
        <f t="shared" si="0"/>
        <v>14.613270460252846</v>
      </c>
      <c r="M5" s="30">
        <v>-1.5648056150100356</v>
      </c>
      <c r="N5" s="30">
        <v>0.14959504076797403</v>
      </c>
      <c r="O5" s="97">
        <v>0.78975000000000006</v>
      </c>
      <c r="P5" s="30">
        <v>0.77849999999999997</v>
      </c>
      <c r="Q5" s="30">
        <v>1.62375</v>
      </c>
      <c r="R5" s="30">
        <v>0.055500000000000008</v>
      </c>
      <c r="S5" s="30">
        <v>10.405566815455012</v>
      </c>
      <c r="T5" s="30">
        <v>16.63664721880582</v>
      </c>
      <c r="U5" s="30">
        <v>0.47625000000000001</v>
      </c>
      <c r="V5" s="30">
        <v>60.515634093089275</v>
      </c>
      <c r="W5" s="30">
        <f t="shared" si="1"/>
        <v>13.175773112320369</v>
      </c>
      <c r="X5" s="30">
        <v>-1.5342327079690865</v>
      </c>
      <c r="Y5" s="30">
        <v>0.1734841236225593</v>
      </c>
      <c r="Z5" s="32">
        <f t="shared" si="2"/>
        <v>-0.074035714285714427</v>
      </c>
    </row>
    <row r="6">
      <c r="A6" s="42" t="s">
        <v>138</v>
      </c>
      <c r="B6" s="100">
        <v>2</v>
      </c>
      <c r="C6" s="48">
        <v>6.0199999999999996</v>
      </c>
      <c r="D6" s="30">
        <v>0.89066666666666672</v>
      </c>
      <c r="E6" s="30">
        <v>1.6446666666666667</v>
      </c>
      <c r="F6" s="30">
        <v>2.615333333333334</v>
      </c>
      <c r="G6" s="30">
        <v>0.080000000000000016</v>
      </c>
      <c r="H6" s="30">
        <v>10.683455464096092</v>
      </c>
      <c r="I6" s="30">
        <v>17.711640162200148</v>
      </c>
      <c r="J6" s="30">
        <v>0.4933333333333334</v>
      </c>
      <c r="K6" s="30">
        <v>54.375158079075661</v>
      </c>
      <c r="L6" s="30">
        <f t="shared" si="0"/>
        <v>11.994897601904293</v>
      </c>
      <c r="M6" s="30">
        <v>-1.5243378637986376</v>
      </c>
      <c r="N6" s="30">
        <v>0.19165126134133134</v>
      </c>
      <c r="O6" s="97">
        <v>0.84420000000000006</v>
      </c>
      <c r="P6" s="30">
        <v>1.0704</v>
      </c>
      <c r="Q6" s="30">
        <v>1.9956</v>
      </c>
      <c r="R6" s="30">
        <v>0.081000000000000003</v>
      </c>
      <c r="S6" s="30">
        <v>10.450685565551415</v>
      </c>
      <c r="T6" s="30">
        <v>16.832510314790888</v>
      </c>
      <c r="U6" s="30">
        <v>0.40920000000000006</v>
      </c>
      <c r="V6" s="30">
        <v>48.91487836310187</v>
      </c>
      <c r="W6" s="30">
        <f t="shared" si="1"/>
        <v>12.379395363126529</v>
      </c>
      <c r="X6" s="30">
        <v>-1.4766406671562344</v>
      </c>
      <c r="Y6" s="30">
        <v>0.18447773997405137</v>
      </c>
      <c r="Z6" s="32">
        <f t="shared" si="2"/>
        <v>0.046466666666666656</v>
      </c>
    </row>
    <row r="7">
      <c r="A7" s="42" t="s">
        <v>139</v>
      </c>
      <c r="B7" s="98">
        <v>2</v>
      </c>
      <c r="C7" s="43">
        <v>6.0300000000000002</v>
      </c>
      <c r="D7" s="30">
        <v>1.2140000000000002</v>
      </c>
      <c r="E7" s="30">
        <v>1.1580000000000001</v>
      </c>
      <c r="F7" s="30">
        <v>2.3719999999999999</v>
      </c>
      <c r="G7" s="30">
        <v>0</v>
      </c>
      <c r="H7" s="30">
        <v>10.655260369053876</v>
      </c>
      <c r="I7" s="30">
        <v>17.872877539833741</v>
      </c>
      <c r="J7" s="30">
        <v>0.59600000000000009</v>
      </c>
      <c r="K7" s="30">
        <v>50.794503663107122</v>
      </c>
      <c r="L7" s="30">
        <f t="shared" si="0"/>
        <v>8.7769854769801263</v>
      </c>
      <c r="M7" s="30">
        <v>-1.6294189859425778</v>
      </c>
      <c r="N7" s="30">
        <v>0.15308256972605427</v>
      </c>
      <c r="O7" s="97">
        <v>1.5700000000000003</v>
      </c>
      <c r="P7" s="30">
        <v>1.2540000000000002</v>
      </c>
      <c r="Q7" s="30">
        <v>2.8680000000000003</v>
      </c>
      <c r="R7" s="30">
        <v>0.044000000000000004</v>
      </c>
      <c r="S7" s="30">
        <v>10.267977239754272</v>
      </c>
      <c r="T7" s="30">
        <v>16.634896589970811</v>
      </c>
      <c r="U7" s="30">
        <v>0.63</v>
      </c>
      <c r="V7" s="30">
        <v>40.041953718424303</v>
      </c>
      <c r="W7" s="30">
        <f t="shared" si="1"/>
        <v>6.5401128915632292</v>
      </c>
      <c r="X7" s="30">
        <v>-1.6978467482571036</v>
      </c>
      <c r="Y7" s="30">
        <v>0.32239561949966533</v>
      </c>
      <c r="Z7" s="32">
        <f t="shared" si="2"/>
        <v>-0.35600000000000009</v>
      </c>
    </row>
    <row r="8">
      <c r="A8" s="42" t="s">
        <v>139</v>
      </c>
      <c r="B8" s="98">
        <v>1</v>
      </c>
      <c r="C8" s="43">
        <v>6.0300000000000002</v>
      </c>
      <c r="D8" s="30">
        <v>0.95657142857142852</v>
      </c>
      <c r="E8" s="30">
        <v>1.1588571428571428</v>
      </c>
      <c r="F8" s="30">
        <v>2.600571428571429</v>
      </c>
      <c r="G8" s="30">
        <v>0.48514285714285715</v>
      </c>
      <c r="H8" s="30">
        <v>10.456165360433449</v>
      </c>
      <c r="I8" s="30">
        <v>17.867938016785132</v>
      </c>
      <c r="J8" s="30">
        <v>0.3497142857142857</v>
      </c>
      <c r="K8" s="30">
        <v>42.642524941984739</v>
      </c>
      <c r="L8" s="30">
        <f t="shared" si="0"/>
        <v>10.930877766283475</v>
      </c>
      <c r="M8" s="30">
        <v>-1.7236500526744141</v>
      </c>
      <c r="N8" s="30">
        <v>0.16574084267704509</v>
      </c>
      <c r="O8" s="97">
        <v>0.89000000000000001</v>
      </c>
      <c r="P8" s="30">
        <v>0.84066666666666678</v>
      </c>
      <c r="Q8" s="30">
        <v>1.8800000000000001</v>
      </c>
      <c r="R8" s="30">
        <v>0.14933333333333335</v>
      </c>
      <c r="S8" s="30">
        <v>10.273513976544034</v>
      </c>
      <c r="T8" s="30">
        <v>16.453709900400735</v>
      </c>
      <c r="U8" s="30">
        <v>0.46133333333333337</v>
      </c>
      <c r="V8" s="30">
        <v>52.195467247304677</v>
      </c>
      <c r="W8" s="30">
        <f t="shared" si="1"/>
        <v>11.543274130948353</v>
      </c>
      <c r="X8" s="30">
        <v>-1.5954860774307387</v>
      </c>
      <c r="Y8" s="30">
        <v>0.22478885627374762</v>
      </c>
      <c r="Z8" s="32">
        <f t="shared" si="2"/>
        <v>0.066571428571428504</v>
      </c>
    </row>
    <row r="9">
      <c r="A9" s="42" t="s">
        <v>139</v>
      </c>
      <c r="B9" s="98">
        <v>1</v>
      </c>
      <c r="C9" s="43">
        <v>6.0599999999999996</v>
      </c>
      <c r="D9" s="30">
        <v>1.3817142857142859</v>
      </c>
      <c r="E9" s="30">
        <v>2.1788571428571428</v>
      </c>
      <c r="F9" s="30">
        <v>3.5820000000000003</v>
      </c>
      <c r="G9" s="30">
        <v>0.021428571428571432</v>
      </c>
      <c r="H9" s="30">
        <v>11.081469571366403</v>
      </c>
      <c r="I9" s="30">
        <v>17.434185533428362</v>
      </c>
      <c r="J9" s="30">
        <v>0.43371428571428572</v>
      </c>
      <c r="K9" s="30">
        <v>32.410276830158608</v>
      </c>
      <c r="L9" s="30">
        <f t="shared" si="0"/>
        <v>8.0200875723288689</v>
      </c>
      <c r="M9" s="30">
        <v>-1.7017145086223622</v>
      </c>
      <c r="N9" s="30">
        <v>0.20321548968415598</v>
      </c>
      <c r="O9" s="97">
        <v>1.401</v>
      </c>
      <c r="P9" s="30">
        <v>1.9128000000000001</v>
      </c>
      <c r="Q9" s="30">
        <v>3.4134000000000002</v>
      </c>
      <c r="R9" s="30">
        <v>0.099600000000000008</v>
      </c>
      <c r="S9" s="30">
        <v>10.823352180789408</v>
      </c>
      <c r="T9" s="30">
        <v>17.033101655279161</v>
      </c>
      <c r="U9" s="30">
        <v>0.66840000000000011</v>
      </c>
      <c r="V9" s="30">
        <v>48.584973407743064</v>
      </c>
      <c r="W9" s="30">
        <f t="shared" si="1"/>
        <v>7.7254476665163514</v>
      </c>
      <c r="X9" s="30">
        <v>-1.6807519331206884</v>
      </c>
      <c r="Y9" s="30">
        <v>0.17001495459030552</v>
      </c>
      <c r="Z9" s="32">
        <f t="shared" si="2"/>
        <v>-0.019285714285714128</v>
      </c>
    </row>
    <row r="10">
      <c r="A10" s="42" t="s">
        <v>138</v>
      </c>
      <c r="B10" s="98">
        <v>2</v>
      </c>
      <c r="C10" s="53">
        <v>6.0599999999999996</v>
      </c>
      <c r="D10" s="30">
        <v>0.89580000000000004</v>
      </c>
      <c r="E10" s="30">
        <v>1.2048000000000001</v>
      </c>
      <c r="F10" s="30">
        <v>2.3213999999999997</v>
      </c>
      <c r="G10" s="30">
        <v>0.22079999999999997</v>
      </c>
      <c r="H10" s="30">
        <v>10.473291622019937</v>
      </c>
      <c r="I10" s="30">
        <v>17.572911286739366</v>
      </c>
      <c r="J10" s="30">
        <v>0.46980000000000011</v>
      </c>
      <c r="K10" s="30">
        <v>52.264515795714239</v>
      </c>
      <c r="L10" s="30">
        <f t="shared" si="0"/>
        <v>11.691551263697184</v>
      </c>
      <c r="M10" s="30">
        <v>-1.4901485430419545</v>
      </c>
      <c r="N10" s="30">
        <v>0.12801490746062502</v>
      </c>
      <c r="O10" s="97">
        <v>1.0007999999999999</v>
      </c>
      <c r="P10" s="30">
        <v>0.93120000000000014</v>
      </c>
      <c r="Q10" s="30">
        <v>1.9974000000000001</v>
      </c>
      <c r="R10" s="30">
        <v>0.065400000000000014</v>
      </c>
      <c r="S10" s="30">
        <v>10.582267307369824</v>
      </c>
      <c r="T10" s="30">
        <v>16.672268337203896</v>
      </c>
      <c r="U10" s="30">
        <v>0.50340000000000007</v>
      </c>
      <c r="V10" s="30">
        <v>52.194894495256015</v>
      </c>
      <c r="W10" s="30">
        <f t="shared" si="1"/>
        <v>10.573808260761215</v>
      </c>
      <c r="X10" s="30">
        <v>-1.5395725434574274</v>
      </c>
      <c r="Y10" s="30">
        <v>0.19901789113752624</v>
      </c>
      <c r="Z10" s="32">
        <f t="shared" si="2"/>
        <v>-0.10499999999999987</v>
      </c>
    </row>
    <row r="11">
      <c r="A11" s="42" t="s">
        <v>139</v>
      </c>
      <c r="B11" s="98">
        <v>1</v>
      </c>
      <c r="C11" s="54">
        <v>6.0899999999999999</v>
      </c>
      <c r="D11" s="30">
        <v>0.97028571428571431</v>
      </c>
      <c r="E11" s="30">
        <v>1.4134285714285715</v>
      </c>
      <c r="F11" s="30">
        <v>2.9914285714285715</v>
      </c>
      <c r="G11" s="30">
        <v>0.60771428571428565</v>
      </c>
      <c r="H11" s="30">
        <v>10.727759941394499</v>
      </c>
      <c r="I11" s="30">
        <v>18.039490786529132</v>
      </c>
      <c r="J11" s="30">
        <v>0.45685714285714291</v>
      </c>
      <c r="K11" s="30">
        <v>46.988175329932808</v>
      </c>
      <c r="L11" s="30">
        <f t="shared" si="0"/>
        <v>11.056289692249925</v>
      </c>
      <c r="M11" s="30">
        <v>-1.6036311491239221</v>
      </c>
      <c r="N11" s="30">
        <v>0.18810535526061165</v>
      </c>
      <c r="O11" s="97">
        <v>0.95799999999999996</v>
      </c>
      <c r="P11" s="30">
        <v>0.98466666666666669</v>
      </c>
      <c r="Q11" s="30">
        <v>2.5559999999999996</v>
      </c>
      <c r="R11" s="30">
        <v>0.6133333333333334</v>
      </c>
      <c r="S11" s="30">
        <v>10.317199045619569</v>
      </c>
      <c r="T11" s="30">
        <v>17.392036167246594</v>
      </c>
      <c r="U11" s="30">
        <v>0.53066666666666673</v>
      </c>
      <c r="V11" s="30">
        <v>53.8892510476187</v>
      </c>
      <c r="W11" s="30">
        <f t="shared" si="1"/>
        <v>10.769518836763643</v>
      </c>
      <c r="X11" s="30">
        <v>-1.5912689843612537</v>
      </c>
      <c r="Y11" s="30">
        <v>0.14489358931451071</v>
      </c>
      <c r="Z11" s="32">
        <f t="shared" si="2"/>
        <v>0.012285714285714344</v>
      </c>
    </row>
    <row r="12">
      <c r="A12" s="42" t="s">
        <v>139</v>
      </c>
      <c r="B12" s="98">
        <v>1</v>
      </c>
      <c r="C12" s="43">
        <v>6.0899999999999999</v>
      </c>
      <c r="D12" s="30">
        <v>1.1653333333333336</v>
      </c>
      <c r="E12" s="30">
        <v>1.296</v>
      </c>
      <c r="F12" s="30">
        <v>2.5140000000000002</v>
      </c>
      <c r="G12" s="30">
        <v>0.052666666666666667</v>
      </c>
      <c r="H12" s="30">
        <v>10.428683536238674</v>
      </c>
      <c r="I12" s="30">
        <v>17.36130664326587</v>
      </c>
      <c r="J12" s="30">
        <v>0.54800000000000004</v>
      </c>
      <c r="K12" s="30">
        <v>48.497081918933219</v>
      </c>
      <c r="L12" s="30">
        <f t="shared" si="0"/>
        <v>8.9490991443695709</v>
      </c>
      <c r="M12" s="30">
        <v>-1.7354409376398392</v>
      </c>
      <c r="N12" s="30">
        <v>0.14222809972075084</v>
      </c>
      <c r="O12" s="97">
        <v>1.0913999999999999</v>
      </c>
      <c r="P12" s="30">
        <v>1.2906000000000002</v>
      </c>
      <c r="Q12" s="30">
        <v>2.4443999999999999</v>
      </c>
      <c r="R12" s="30">
        <v>0.062399999999999997</v>
      </c>
      <c r="S12" s="30">
        <v>10.462974147175954</v>
      </c>
      <c r="T12" s="30">
        <v>17.156029609265314</v>
      </c>
      <c r="U12" s="30">
        <v>0.54359999999999997</v>
      </c>
      <c r="V12" s="30">
        <v>50.632819024702769</v>
      </c>
      <c r="W12" s="30">
        <f t="shared" si="1"/>
        <v>9.5867455993915662</v>
      </c>
      <c r="X12" s="30">
        <v>-1.6675489734173266</v>
      </c>
      <c r="Y12" s="30">
        <v>0.19401124131606862</v>
      </c>
      <c r="Z12" s="32">
        <f t="shared" si="2"/>
        <v>0.073933333333333628</v>
      </c>
    </row>
    <row r="13">
      <c r="A13" s="42" t="s">
        <v>138</v>
      </c>
      <c r="B13" s="98">
        <v>2</v>
      </c>
      <c r="C13" s="101">
        <v>6.0899999999999999</v>
      </c>
      <c r="D13" s="30">
        <v>0.75600000000000001</v>
      </c>
      <c r="E13" s="30">
        <v>0.91200000000000014</v>
      </c>
      <c r="F13" s="30">
        <v>2.0268000000000002</v>
      </c>
      <c r="G13" s="30">
        <v>0.35880000000000001</v>
      </c>
      <c r="H13" s="30">
        <v>10.488773178617251</v>
      </c>
      <c r="I13" s="30">
        <v>17.937607003154209</v>
      </c>
      <c r="J13" s="30">
        <v>0.38879999999999998</v>
      </c>
      <c r="K13" s="30">
        <v>53.113817789545941</v>
      </c>
      <c r="L13" s="30">
        <f t="shared" si="0"/>
        <v>13.874038596054564</v>
      </c>
      <c r="M13" s="30">
        <v>-1.4956153629474245</v>
      </c>
      <c r="N13" s="30">
        <v>0.28900133139729389</v>
      </c>
      <c r="O13" s="97">
        <v>0.79800000000000015</v>
      </c>
      <c r="P13" s="30">
        <v>0.93333333333333357</v>
      </c>
      <c r="Q13" s="30">
        <v>2.0359999999999996</v>
      </c>
      <c r="R13" s="30">
        <v>0.30466666666666664</v>
      </c>
      <c r="S13" s="30">
        <v>10.15133398726676</v>
      </c>
      <c r="T13" s="30">
        <v>18.277453374317346</v>
      </c>
      <c r="U13" s="30">
        <v>0.47533333333333327</v>
      </c>
      <c r="V13" s="30">
        <v>58.541940371953132</v>
      </c>
      <c r="W13" s="30">
        <f t="shared" si="1"/>
        <v>12.720969908855587</v>
      </c>
      <c r="X13" s="30">
        <v>-1.5128561280067865</v>
      </c>
      <c r="Y13" s="30">
        <v>0.19290266360073596</v>
      </c>
      <c r="Z13" s="32">
        <f t="shared" si="2"/>
        <v>-0.042000000000000148</v>
      </c>
    </row>
    <row r="14">
      <c r="A14" s="42" t="s">
        <v>138</v>
      </c>
      <c r="B14" s="102">
        <v>2</v>
      </c>
      <c r="C14" s="57">
        <v>6.0899999999999999</v>
      </c>
      <c r="D14" s="30">
        <v>0.873</v>
      </c>
      <c r="E14" s="30">
        <v>1.2684</v>
      </c>
      <c r="F14" s="30">
        <v>2.2698</v>
      </c>
      <c r="G14" s="30">
        <v>0.12840000000000001</v>
      </c>
      <c r="H14" s="30">
        <v>10.68207462683613</v>
      </c>
      <c r="I14" s="30">
        <v>18.092060821602999</v>
      </c>
      <c r="J14" s="30">
        <v>0.42300000000000004</v>
      </c>
      <c r="K14" s="30">
        <v>49.232613628178527</v>
      </c>
      <c r="L14" s="30">
        <f t="shared" si="0"/>
        <v>12.236053409892474</v>
      </c>
      <c r="M14" s="30">
        <v>-1.5532683359633814</v>
      </c>
      <c r="N14" s="30">
        <v>0.14422776074197569</v>
      </c>
      <c r="O14" s="97">
        <v>0.84600000000000009</v>
      </c>
      <c r="P14" s="30">
        <v>1.1226</v>
      </c>
      <c r="Q14" s="30">
        <v>2.0705999999999998</v>
      </c>
      <c r="R14" s="30">
        <v>0.10200000000000002</v>
      </c>
      <c r="S14" s="30">
        <v>10.630253103235171</v>
      </c>
      <c r="T14" s="30">
        <v>18.597981443424089</v>
      </c>
      <c r="U14" s="30">
        <v>0.42720000000000002</v>
      </c>
      <c r="V14" s="30">
        <v>49.708368426525709</v>
      </c>
      <c r="W14" s="30">
        <f t="shared" si="1"/>
        <v>12.565310996731879</v>
      </c>
      <c r="X14" s="30">
        <v>-1.5341296874576815</v>
      </c>
      <c r="Y14" s="30">
        <v>0.11706143736402948</v>
      </c>
      <c r="Z14" s="32">
        <f t="shared" si="2"/>
        <v>0.026999999999999913</v>
      </c>
    </row>
    <row r="15">
      <c r="A15" s="42" t="s">
        <v>139</v>
      </c>
      <c r="B15" s="98">
        <v>2</v>
      </c>
      <c r="C15" s="42">
        <v>6.0999999999999996</v>
      </c>
      <c r="D15" s="30">
        <v>0.80466666666666675</v>
      </c>
      <c r="E15" s="30">
        <v>1.4453333333333331</v>
      </c>
      <c r="F15" s="30">
        <v>2.2840000000000003</v>
      </c>
      <c r="G15" s="30">
        <v>0.034000000000000002</v>
      </c>
      <c r="H15" s="30">
        <v>10.49477485930478</v>
      </c>
      <c r="I15" s="30">
        <v>17.838096663575858</v>
      </c>
      <c r="J15" s="30">
        <v>0.39933333333333337</v>
      </c>
      <c r="K15" s="30">
        <v>50.678764245863462</v>
      </c>
      <c r="L15" s="30">
        <f t="shared" si="0"/>
        <v>13.042387977595002</v>
      </c>
      <c r="M15" s="30">
        <v>-1.4475014363154191</v>
      </c>
      <c r="N15" s="30">
        <v>0.11129294224054664</v>
      </c>
      <c r="O15" s="97">
        <v>1.0908000000000002</v>
      </c>
      <c r="P15" s="30">
        <v>1.2570000000000001</v>
      </c>
      <c r="Q15" s="30">
        <v>2.3765999999999998</v>
      </c>
      <c r="R15" s="30">
        <v>0.028800000000000003</v>
      </c>
      <c r="S15" s="30">
        <v>10.591366638588951</v>
      </c>
      <c r="T15" s="30">
        <v>17.165815606907984</v>
      </c>
      <c r="U15" s="30">
        <v>0.54720000000000002</v>
      </c>
      <c r="V15" s="30">
        <v>53.475350733355562</v>
      </c>
      <c r="W15" s="30">
        <f t="shared" si="1"/>
        <v>9.7097237244123118</v>
      </c>
      <c r="X15" s="30">
        <v>-1.5235463672213083</v>
      </c>
      <c r="Y15" s="30">
        <v>0.14481620381520777</v>
      </c>
      <c r="Z15" s="32">
        <f t="shared" si="2"/>
        <v>-0.28613333333333346</v>
      </c>
    </row>
    <row r="16">
      <c r="A16" s="42" t="s">
        <v>138</v>
      </c>
      <c r="B16" s="98">
        <v>1</v>
      </c>
      <c r="C16" s="30">
        <v>6.0999999999999996</v>
      </c>
      <c r="D16" s="30">
        <v>0.9946666666666667</v>
      </c>
      <c r="E16" s="30">
        <v>1.3373333333333333</v>
      </c>
      <c r="F16" s="30">
        <v>2.5966666666666667</v>
      </c>
      <c r="G16" s="30">
        <v>0.26466666666666666</v>
      </c>
      <c r="H16" s="30">
        <v>10.473683183291918</v>
      </c>
      <c r="I16" s="30">
        <v>17.513669009826422</v>
      </c>
      <c r="J16" s="30">
        <v>0.56266666666666676</v>
      </c>
      <c r="K16" s="30">
        <v>55.795724524041709</v>
      </c>
      <c r="L16" s="30">
        <f t="shared" si="0"/>
        <v>10.52984234245166</v>
      </c>
      <c r="M16" s="30">
        <v>-1.5710409533051026</v>
      </c>
      <c r="N16" s="30">
        <v>0.19363612962775503</v>
      </c>
      <c r="O16" s="97">
        <v>0.87824999999999998</v>
      </c>
      <c r="P16" s="30">
        <v>0.87975000000000003</v>
      </c>
      <c r="Q16" s="30">
        <v>1.7947500000000003</v>
      </c>
      <c r="R16" s="30">
        <v>0.036750000000000005</v>
      </c>
      <c r="S16" s="30">
        <v>10.496341397651815</v>
      </c>
      <c r="T16" s="30">
        <v>17.515944388551823</v>
      </c>
      <c r="U16" s="30">
        <v>0.53850000000000009</v>
      </c>
      <c r="V16" s="30">
        <v>60.556669011655579</v>
      </c>
      <c r="W16" s="30">
        <f t="shared" si="1"/>
        <v>11.951427722916954</v>
      </c>
      <c r="X16" s="30">
        <v>-1.6330128238961612</v>
      </c>
      <c r="Y16" s="30">
        <v>0.15433882276630181</v>
      </c>
      <c r="Z16" s="32">
        <f t="shared" si="2"/>
        <v>0.11641666666666672</v>
      </c>
    </row>
    <row r="17">
      <c r="A17" s="42" t="s">
        <v>138</v>
      </c>
      <c r="B17" s="103">
        <v>2</v>
      </c>
      <c r="C17" s="95">
        <v>6.1100000000000003</v>
      </c>
      <c r="D17" s="30">
        <v>0.48514285714285715</v>
      </c>
      <c r="E17" s="30">
        <v>0.83828571428571441</v>
      </c>
      <c r="F17" s="30">
        <v>1.3320000000000001</v>
      </c>
      <c r="G17" s="30">
        <v>0.0085714285714285719</v>
      </c>
      <c r="H17" s="30">
        <v>10.454577861803189</v>
      </c>
      <c r="I17" s="30">
        <v>17.959060656119796</v>
      </c>
      <c r="J17" s="30">
        <v>0.24514285714285713</v>
      </c>
      <c r="K17" s="30">
        <v>50.593395351396353</v>
      </c>
      <c r="L17" s="30">
        <f t="shared" si="0"/>
        <v>21.549483225153807</v>
      </c>
      <c r="M17" s="30">
        <v>-1.4161053476227488</v>
      </c>
      <c r="N17" s="30">
        <v>0.1138839062011705</v>
      </c>
      <c r="O17" s="97">
        <v>0.39240000000000003</v>
      </c>
      <c r="P17" s="30">
        <v>0.55680000000000007</v>
      </c>
      <c r="Q17" s="30">
        <v>0.96240000000000003</v>
      </c>
      <c r="R17" s="30">
        <v>0.0132</v>
      </c>
      <c r="S17" s="30">
        <v>10.344637755974826</v>
      </c>
      <c r="T17" s="30">
        <v>17.343454847395158</v>
      </c>
      <c r="U17" s="30">
        <v>0.19139999999999999</v>
      </c>
      <c r="V17" s="30">
        <v>48.761151197320928</v>
      </c>
      <c r="W17" s="30">
        <f t="shared" si="1"/>
        <v>26.362481539181513</v>
      </c>
      <c r="X17" s="30">
        <v>-1.4181082174338111</v>
      </c>
      <c r="Y17" s="30">
        <v>0.1012897559478689</v>
      </c>
      <c r="Z17" s="32">
        <f t="shared" si="2"/>
        <v>0.092742857142857127</v>
      </c>
    </row>
    <row r="18">
      <c r="A18" s="43" t="s">
        <v>139</v>
      </c>
      <c r="B18" s="98">
        <v>1</v>
      </c>
      <c r="C18" s="101">
        <v>6.5</v>
      </c>
      <c r="D18" s="30">
        <v>1.6212</v>
      </c>
      <c r="E18" s="30">
        <v>1.6325999999999996</v>
      </c>
      <c r="F18" s="30">
        <v>3.9953999999999992</v>
      </c>
      <c r="G18" s="30">
        <v>0.74160000000000004</v>
      </c>
      <c r="H18" s="30">
        <v>10.342352327930721</v>
      </c>
      <c r="I18" s="30">
        <v>17.586921287543454</v>
      </c>
      <c r="J18" s="30">
        <v>0.87180000000000002</v>
      </c>
      <c r="K18" s="30">
        <v>54.46556973120137</v>
      </c>
      <c r="L18" s="30">
        <f t="shared" si="0"/>
        <v>6.3794425906308421</v>
      </c>
      <c r="M18" s="30">
        <v>-1.7400613182173053</v>
      </c>
      <c r="N18" s="30">
        <v>0.093271004621443054</v>
      </c>
      <c r="O18" s="97">
        <v>1.8719999999999999</v>
      </c>
      <c r="P18" s="30">
        <v>1.605</v>
      </c>
      <c r="Q18" s="30">
        <v>3.8298000000000001</v>
      </c>
      <c r="R18" s="30">
        <v>0.3528</v>
      </c>
      <c r="S18" s="30">
        <v>10.627538121414982</v>
      </c>
      <c r="T18" s="30">
        <v>17.183073368488582</v>
      </c>
      <c r="U18" s="30">
        <v>1.1741999999999999</v>
      </c>
      <c r="V18" s="30">
        <v>58.177943077659179</v>
      </c>
      <c r="W18" s="30">
        <f t="shared" si="1"/>
        <v>5.6771036973370634</v>
      </c>
      <c r="X18" s="30">
        <v>-1.7808770878970026</v>
      </c>
      <c r="Y18" s="30">
        <v>0.11533569657322551</v>
      </c>
      <c r="Z18" s="32">
        <f t="shared" si="2"/>
        <v>-0.25079999999999991</v>
      </c>
    </row>
    <row r="19">
      <c r="A19" s="52" t="s">
        <v>138</v>
      </c>
      <c r="B19" s="98">
        <v>2</v>
      </c>
      <c r="C19" s="61">
        <v>7</v>
      </c>
      <c r="D19" s="30">
        <v>1.0785</v>
      </c>
      <c r="E19" s="30">
        <v>1.7805000000000002</v>
      </c>
      <c r="F19" s="30">
        <v>2.9384999999999999</v>
      </c>
      <c r="G19" s="30">
        <v>0.079500000000000015</v>
      </c>
      <c r="H19" s="30">
        <v>10.213487230405001</v>
      </c>
      <c r="I19" s="30">
        <v>17.312398861473518</v>
      </c>
      <c r="J19" s="30">
        <v>0.57150000000000001</v>
      </c>
      <c r="K19" s="30">
        <v>52.667644491773849</v>
      </c>
      <c r="L19" s="30">
        <f t="shared" si="0"/>
        <v>9.4700855172971732</v>
      </c>
      <c r="M19" s="30">
        <v>-1.539921517228239</v>
      </c>
      <c r="N19" s="30">
        <v>0.10310617123317006</v>
      </c>
      <c r="O19" s="97">
        <v>0.9870000000000001</v>
      </c>
      <c r="P19" s="30">
        <v>0.98600000000000021</v>
      </c>
      <c r="Q19" s="30">
        <v>2.0210000000000004</v>
      </c>
      <c r="R19" s="30">
        <v>0.048000000000000008</v>
      </c>
      <c r="S19" s="30">
        <v>10.657694636700386</v>
      </c>
      <c r="T19" s="30">
        <v>17.533132343581979</v>
      </c>
      <c r="U19" s="30">
        <v>0.44500000000000006</v>
      </c>
      <c r="V19" s="30">
        <v>45.079844220195696</v>
      </c>
      <c r="W19" s="30">
        <f t="shared" si="1"/>
        <v>10.798069540729873</v>
      </c>
      <c r="X19" s="30">
        <v>-1.542484580584077</v>
      </c>
      <c r="Y19" s="30">
        <v>0.22170219446093389</v>
      </c>
      <c r="Z19" s="32">
        <f t="shared" si="2"/>
        <v>0.091499999999999915</v>
      </c>
    </row>
    <row r="20">
      <c r="A20" s="52" t="s">
        <v>138</v>
      </c>
      <c r="B20" s="98">
        <v>2</v>
      </c>
      <c r="C20" s="61">
        <v>7</v>
      </c>
      <c r="D20" s="30">
        <v>1.4715</v>
      </c>
      <c r="E20" s="30">
        <v>2.3970000000000002</v>
      </c>
      <c r="F20" s="30">
        <v>4.00725</v>
      </c>
      <c r="G20" s="30">
        <v>0.13875000000000001</v>
      </c>
      <c r="H20" s="30">
        <v>10.256563985838172</v>
      </c>
      <c r="I20" s="30">
        <v>17.711285849755541</v>
      </c>
      <c r="J20" s="30">
        <v>0.93675000000000008</v>
      </c>
      <c r="K20" s="30">
        <v>63.461256749788113</v>
      </c>
      <c r="L20" s="30">
        <f t="shared" si="0"/>
        <v>6.9701420223161206</v>
      </c>
      <c r="M20" s="30">
        <v>-1.6460822259016432</v>
      </c>
      <c r="N20" s="30">
        <v>0.10777805922674399</v>
      </c>
      <c r="O20" s="97">
        <v>1.4100000000000001</v>
      </c>
      <c r="P20" s="30">
        <v>1.9900000000000002</v>
      </c>
      <c r="Q20" s="30">
        <v>3.448</v>
      </c>
      <c r="R20" s="30">
        <v>0.048000000000000008</v>
      </c>
      <c r="S20" s="30">
        <v>10.322986973446254</v>
      </c>
      <c r="T20" s="30">
        <v>17.479943843174002</v>
      </c>
      <c r="U20" s="30">
        <v>0.69300000000000006</v>
      </c>
      <c r="V20" s="30">
        <v>49.5400585634438</v>
      </c>
      <c r="W20" s="30">
        <f t="shared" si="1"/>
        <v>7.3212673570540803</v>
      </c>
      <c r="X20" s="30">
        <v>-1.6900752930512837</v>
      </c>
      <c r="Y20" s="30">
        <v>0.071748066106031835</v>
      </c>
      <c r="Z20" s="32">
        <f t="shared" si="2"/>
        <v>0.061499999999999888</v>
      </c>
    </row>
    <row r="21">
      <c r="A21" s="43" t="s">
        <v>139</v>
      </c>
      <c r="B21" s="98">
        <v>2</v>
      </c>
      <c r="C21" s="101">
        <v>7</v>
      </c>
      <c r="D21" s="30">
        <v>0.89340000000000008</v>
      </c>
      <c r="E21" s="30">
        <v>0.98519999999999985</v>
      </c>
      <c r="F21" s="30">
        <v>1.9152</v>
      </c>
      <c r="G21" s="30">
        <v>0.036600000000000008</v>
      </c>
      <c r="H21" s="30">
        <v>11.139139024218604</v>
      </c>
      <c r="I21" s="30">
        <v>17.981185955623861</v>
      </c>
      <c r="J21" s="30">
        <v>0.4476</v>
      </c>
      <c r="K21" s="30">
        <v>47.310441610509805</v>
      </c>
      <c r="L21" s="30">
        <f t="shared" si="0"/>
        <v>12.468255008079923</v>
      </c>
      <c r="M21" s="30">
        <v>-1.5185737745925034</v>
      </c>
      <c r="N21" s="30">
        <v>0.17700874508976655</v>
      </c>
      <c r="O21" s="97">
        <v>0.97542857142857131</v>
      </c>
      <c r="P21" s="30">
        <v>0.76200000000000012</v>
      </c>
      <c r="Q21" s="30">
        <v>1.7408571428571431</v>
      </c>
      <c r="R21" s="30">
        <v>0.0034285714285714288</v>
      </c>
      <c r="S21" s="30">
        <v>10.402778338357459</v>
      </c>
      <c r="T21" s="30">
        <v>16.47581604155506</v>
      </c>
      <c r="U21" s="30">
        <v>0.36428571428571432</v>
      </c>
      <c r="V21" s="30">
        <v>34.092123304215413</v>
      </c>
      <c r="W21" s="30">
        <f t="shared" si="1"/>
        <v>10.664828407806418</v>
      </c>
      <c r="X21" s="30">
        <v>-1.5993008129918318</v>
      </c>
      <c r="Y21" s="30">
        <v>0.15903225528222936</v>
      </c>
      <c r="Z21" s="32">
        <f t="shared" si="2"/>
        <v>-0.082028571428571229</v>
      </c>
    </row>
    <row r="22">
      <c r="A22" s="42" t="s">
        <v>139</v>
      </c>
      <c r="B22" s="98">
        <v>2</v>
      </c>
      <c r="C22" s="43">
        <v>7.0099999999999998</v>
      </c>
      <c r="D22" s="30">
        <v>0.65175000000000005</v>
      </c>
      <c r="E22" s="30">
        <v>1.1985000000000001</v>
      </c>
      <c r="F22" s="30">
        <v>1.9395000000000002</v>
      </c>
      <c r="G22" s="30">
        <v>0.089250000000000024</v>
      </c>
      <c r="H22" s="30">
        <v>10.566497622085535</v>
      </c>
      <c r="I22" s="30">
        <v>17.896718100311809</v>
      </c>
      <c r="J22" s="30">
        <v>0.33524999999999999</v>
      </c>
      <c r="K22" s="30">
        <v>47.492079333290235</v>
      </c>
      <c r="L22" s="30">
        <f t="shared" si="0"/>
        <v>16.212501146276232</v>
      </c>
      <c r="M22" s="30">
        <v>-1.5428735849648978</v>
      </c>
      <c r="N22" s="30">
        <v>0.18670088890485015</v>
      </c>
      <c r="O22" s="97">
        <v>0.59999999999999998</v>
      </c>
      <c r="P22" s="30">
        <v>0.79020000000000012</v>
      </c>
      <c r="Q22" s="30">
        <v>1.3992</v>
      </c>
      <c r="R22" s="30">
        <v>0.0089999999999999993</v>
      </c>
      <c r="S22" s="30">
        <v>11.145038500354369</v>
      </c>
      <c r="T22" s="30">
        <v>17.808242109484603</v>
      </c>
      <c r="U22" s="30">
        <v>0.27360000000000001</v>
      </c>
      <c r="V22" s="30">
        <v>43.858742790481493</v>
      </c>
      <c r="W22" s="30">
        <f t="shared" si="1"/>
        <v>18.575064167257281</v>
      </c>
      <c r="X22" s="30">
        <v>-1.5141621585980838</v>
      </c>
      <c r="Y22" s="30">
        <v>0.32209636640668754</v>
      </c>
      <c r="Z22" s="32">
        <f t="shared" si="2"/>
        <v>0.051750000000000074</v>
      </c>
    </row>
    <row r="23">
      <c r="A23" s="42" t="s">
        <v>139</v>
      </c>
      <c r="B23" s="98">
        <v>1</v>
      </c>
      <c r="C23" s="43">
        <v>7.0099999999999998</v>
      </c>
      <c r="D23" s="30">
        <v>1.1653333333333336</v>
      </c>
      <c r="E23" s="30">
        <v>1.296</v>
      </c>
      <c r="F23" s="30">
        <v>2.5140000000000002</v>
      </c>
      <c r="G23" s="30">
        <v>0.052666666666666667</v>
      </c>
      <c r="H23" s="30">
        <v>10.428683536238674</v>
      </c>
      <c r="I23" s="30">
        <v>17.36130664326587</v>
      </c>
      <c r="J23" s="30">
        <v>0.54800000000000004</v>
      </c>
      <c r="K23" s="30">
        <v>48.497081918933219</v>
      </c>
      <c r="L23" s="30">
        <f t="shared" si="0"/>
        <v>8.9490991443695709</v>
      </c>
      <c r="M23" s="30">
        <v>-1.7354409376398392</v>
      </c>
      <c r="N23" s="30">
        <v>0.14222809972075084</v>
      </c>
      <c r="O23" s="97">
        <v>1.0913999999999999</v>
      </c>
      <c r="P23" s="30">
        <v>1.2906000000000002</v>
      </c>
      <c r="Q23" s="30">
        <v>2.4443999999999999</v>
      </c>
      <c r="R23" s="30">
        <v>0.062399999999999997</v>
      </c>
      <c r="S23" s="30">
        <v>10.462974147175954</v>
      </c>
      <c r="T23" s="30">
        <v>17.156029609265314</v>
      </c>
      <c r="U23" s="30">
        <v>0.54359999999999997</v>
      </c>
      <c r="V23" s="30">
        <v>50.632819024702769</v>
      </c>
      <c r="W23" s="30">
        <f t="shared" si="1"/>
        <v>9.5867455993915662</v>
      </c>
      <c r="X23" s="30">
        <v>-1.6675489734173266</v>
      </c>
      <c r="Y23" s="30">
        <v>0.19401124131606862</v>
      </c>
      <c r="Z23" s="32">
        <f t="shared" si="2"/>
        <v>0.073933333333333628</v>
      </c>
    </row>
    <row r="24">
      <c r="A24" s="42" t="s">
        <v>138</v>
      </c>
      <c r="B24" s="99">
        <v>1</v>
      </c>
      <c r="C24" s="48">
        <v>7.0099999999999998</v>
      </c>
      <c r="D24" s="30">
        <v>0.55866666666666687</v>
      </c>
      <c r="E24" s="30">
        <v>1.1100000000000003</v>
      </c>
      <c r="F24" s="30">
        <v>1.7986666666666666</v>
      </c>
      <c r="G24" s="30">
        <v>0.13</v>
      </c>
      <c r="H24" s="30">
        <v>10.507739825372761</v>
      </c>
      <c r="I24" s="30">
        <v>17.965303203334923</v>
      </c>
      <c r="J24" s="30">
        <v>0.31266666666666665</v>
      </c>
      <c r="K24" s="30">
        <v>54.808467924493463</v>
      </c>
      <c r="L24" s="30">
        <f t="shared" si="0"/>
        <v>18.808603506037155</v>
      </c>
      <c r="M24" s="30">
        <v>-1.4603996790942158</v>
      </c>
      <c r="N24" s="30">
        <v>0.22692010429570861</v>
      </c>
      <c r="O24" s="97">
        <v>0.57266666666666677</v>
      </c>
      <c r="P24" s="30">
        <v>1.0873333333333335</v>
      </c>
      <c r="Q24" s="30">
        <v>1.7640000000000002</v>
      </c>
      <c r="R24" s="30">
        <v>0.10400000000000001</v>
      </c>
      <c r="S24" s="30">
        <v>10.607472878629627</v>
      </c>
      <c r="T24" s="30">
        <v>18.773969560912374</v>
      </c>
      <c r="U24" s="30">
        <v>0.27333333333333332</v>
      </c>
      <c r="V24" s="30">
        <v>48.599528339983856</v>
      </c>
      <c r="W24" s="30">
        <f t="shared" si="1"/>
        <v>18.522944491204235</v>
      </c>
      <c r="X24" s="30">
        <v>-1.535499775443514</v>
      </c>
      <c r="Y24" s="30">
        <v>0.19198184017688089</v>
      </c>
      <c r="Z24" s="32">
        <f t="shared" si="2"/>
        <v>-0.013999999999999901</v>
      </c>
    </row>
    <row r="25">
      <c r="A25" s="43" t="s">
        <v>139</v>
      </c>
      <c r="B25" s="98">
        <v>2</v>
      </c>
      <c r="C25" s="101">
        <v>7.0300000000000002</v>
      </c>
      <c r="D25" s="30">
        <v>0.98133333333333339</v>
      </c>
      <c r="E25" s="30">
        <v>1.6900000000000004</v>
      </c>
      <c r="F25" s="30">
        <v>2.674666666666667</v>
      </c>
      <c r="G25" s="30">
        <v>0.0033333333333333335</v>
      </c>
      <c r="H25" s="30">
        <v>10.283176169972121</v>
      </c>
      <c r="I25" s="30">
        <v>17.975625735553969</v>
      </c>
      <c r="J25" s="30">
        <v>0.47266666666666673</v>
      </c>
      <c r="K25" s="30">
        <v>46.781867660370267</v>
      </c>
      <c r="L25" s="30">
        <f t="shared" si="0"/>
        <v>10.478780064509634</v>
      </c>
      <c r="M25" s="30">
        <v>-1.5805425493382477</v>
      </c>
      <c r="N25" s="30">
        <v>0.18686110220510999</v>
      </c>
      <c r="O25" s="97">
        <v>0.97620000000000007</v>
      </c>
      <c r="P25" s="30">
        <v>1.4196</v>
      </c>
      <c r="Q25" s="30">
        <v>2.4083999999999994</v>
      </c>
      <c r="R25" s="30">
        <v>0.0126</v>
      </c>
      <c r="S25" s="30">
        <v>10.514031872012863</v>
      </c>
      <c r="T25" s="30">
        <v>17.664098833388774</v>
      </c>
      <c r="U25" s="30">
        <v>0.45899999999999996</v>
      </c>
      <c r="V25" s="30">
        <v>45.579549032375965</v>
      </c>
      <c r="W25" s="30">
        <f t="shared" si="1"/>
        <v>10.770366597021985</v>
      </c>
      <c r="X25" s="30">
        <v>-1.6171842690497649</v>
      </c>
      <c r="Y25" s="30">
        <v>0.20823354881283812</v>
      </c>
      <c r="Z25" s="32">
        <f t="shared" si="2"/>
        <v>0.0051333333333333231</v>
      </c>
    </row>
    <row r="26">
      <c r="A26" s="42" t="s">
        <v>138</v>
      </c>
      <c r="B26" s="98">
        <v>2</v>
      </c>
      <c r="C26" s="101">
        <v>7.0300000000000002</v>
      </c>
      <c r="D26" s="30">
        <v>1.1719999999999997</v>
      </c>
      <c r="E26" s="30">
        <v>1.3939999999999999</v>
      </c>
      <c r="F26" s="30">
        <v>2.5966666666666667</v>
      </c>
      <c r="G26" s="30">
        <v>0.030666666666666668</v>
      </c>
      <c r="H26" s="30">
        <v>10.484158722927326</v>
      </c>
      <c r="I26" s="30">
        <v>17.97050311719428</v>
      </c>
      <c r="J26" s="30">
        <v>0.65733333333333333</v>
      </c>
      <c r="K26" s="30">
        <v>54.355004035311012</v>
      </c>
      <c r="L26" s="30">
        <f t="shared" si="0"/>
        <v>8.9455279205864571</v>
      </c>
      <c r="M26" s="30">
        <v>-1.6242191914156268</v>
      </c>
      <c r="N26" s="30">
        <v>0.13867108368227904</v>
      </c>
      <c r="O26" s="97">
        <v>1.1066666666666667</v>
      </c>
      <c r="P26" s="30">
        <v>1.1593333333333335</v>
      </c>
      <c r="Q26" s="30">
        <v>2.2993333333333332</v>
      </c>
      <c r="R26" s="30">
        <v>0.03333333333333334</v>
      </c>
      <c r="S26" s="30">
        <v>10.478315771235227</v>
      </c>
      <c r="T26" s="30">
        <v>17.196638227762364</v>
      </c>
      <c r="U26" s="30">
        <v>0.45933333333333337</v>
      </c>
      <c r="V26" s="30">
        <v>42.207339379087912</v>
      </c>
      <c r="W26" s="30">
        <f t="shared" si="1"/>
        <v>9.4683576246101442</v>
      </c>
      <c r="X26" s="30">
        <v>-1.6414691187952808</v>
      </c>
      <c r="Y26" s="30">
        <v>0.13826942663405611</v>
      </c>
      <c r="Z26" s="32">
        <f t="shared" si="2"/>
        <v>0.065333333333333021</v>
      </c>
    </row>
    <row r="27">
      <c r="A27" s="42" t="s">
        <v>138</v>
      </c>
      <c r="B27" s="98">
        <v>1</v>
      </c>
      <c r="C27" s="101">
        <v>7.0300000000000002</v>
      </c>
      <c r="D27" s="30">
        <v>0.55333333333333334</v>
      </c>
      <c r="E27" s="30">
        <v>0.89133333333333331</v>
      </c>
      <c r="F27" s="30">
        <v>1.4693333333333334</v>
      </c>
      <c r="G27" s="30">
        <v>0.02466666666666667</v>
      </c>
      <c r="H27" s="30">
        <v>10.630109274350552</v>
      </c>
      <c r="I27" s="30">
        <v>18.045251246297816</v>
      </c>
      <c r="J27" s="30">
        <v>0.31533333333333341</v>
      </c>
      <c r="K27" s="30">
        <v>56.61717511861734</v>
      </c>
      <c r="L27" s="30">
        <f t="shared" si="0"/>
        <v>19.211040857260034</v>
      </c>
      <c r="M27" s="30">
        <v>-1.4664485422806584</v>
      </c>
      <c r="N27" s="30">
        <v>0.16994529822935903</v>
      </c>
      <c r="O27" s="97">
        <v>0.57600000000000007</v>
      </c>
      <c r="P27" s="30">
        <v>0.79666666666666663</v>
      </c>
      <c r="Q27" s="30">
        <v>1.3899999999999999</v>
      </c>
      <c r="R27" s="30">
        <v>0.017333333333333333</v>
      </c>
      <c r="S27" s="30">
        <v>11.08694769796355</v>
      </c>
      <c r="T27" s="30">
        <v>18.125330331497096</v>
      </c>
      <c r="U27" s="30">
        <v>0.3066666666666667</v>
      </c>
      <c r="V27" s="30">
        <v>52.866565093858803</v>
      </c>
      <c r="W27" s="30">
        <f t="shared" si="1"/>
        <v>19.248173086742273</v>
      </c>
      <c r="X27" s="30">
        <v>-1.4416521023173052</v>
      </c>
      <c r="Y27" s="30">
        <v>0.17117611971148344</v>
      </c>
      <c r="Z27" s="32">
        <f t="shared" si="2"/>
        <v>-0.022666666666666724</v>
      </c>
    </row>
    <row r="28">
      <c r="A28" s="42" t="s">
        <v>138</v>
      </c>
      <c r="B28" s="100">
        <v>2</v>
      </c>
      <c r="C28" s="48">
        <v>7.0300000000000002</v>
      </c>
      <c r="D28" s="30">
        <v>0.63400000000000012</v>
      </c>
      <c r="E28" s="30">
        <v>0.84133333333333349</v>
      </c>
      <c r="F28" s="30">
        <v>1.4913333333333336</v>
      </c>
      <c r="G28" s="30">
        <v>0.016</v>
      </c>
      <c r="H28" s="30">
        <v>10.713103391171963</v>
      </c>
      <c r="I28" s="30">
        <v>17.593816718255329</v>
      </c>
      <c r="J28" s="30">
        <v>0.28599999999999998</v>
      </c>
      <c r="K28" s="30">
        <v>45.008038464205846</v>
      </c>
      <c r="L28" s="30">
        <f t="shared" si="0"/>
        <v>16.897639418252304</v>
      </c>
      <c r="M28" s="30">
        <v>-1.4372751918726221</v>
      </c>
      <c r="N28" s="30">
        <v>0.19396425465618339</v>
      </c>
      <c r="O28" s="97">
        <v>0.65466666666666673</v>
      </c>
      <c r="P28" s="30">
        <v>0.71333333333333337</v>
      </c>
      <c r="Q28" s="30">
        <v>1.4040000000000004</v>
      </c>
      <c r="R28" s="30">
        <v>0.036000000000000004</v>
      </c>
      <c r="S28" s="30">
        <v>10.751915952239671</v>
      </c>
      <c r="T28" s="30">
        <v>18.450161326159773</v>
      </c>
      <c r="U28" s="30">
        <v>0.3073333333333334</v>
      </c>
      <c r="V28" s="30">
        <v>46.569236462611748</v>
      </c>
      <c r="W28" s="30">
        <f t="shared" si="1"/>
        <v>16.423496872056521</v>
      </c>
      <c r="X28" s="30">
        <v>-1.4353133677427745</v>
      </c>
      <c r="Y28" s="30">
        <v>0.13355108874278368</v>
      </c>
      <c r="Z28" s="32">
        <f t="shared" si="2"/>
        <v>-0.020666666666666611</v>
      </c>
    </row>
    <row r="29">
      <c r="A29" s="43" t="s">
        <v>139</v>
      </c>
      <c r="B29" s="98">
        <v>1</v>
      </c>
      <c r="C29" s="101">
        <v>7.04</v>
      </c>
      <c r="D29" s="30">
        <v>1.302</v>
      </c>
      <c r="E29" s="30">
        <v>2.5092000000000008</v>
      </c>
      <c r="F29" s="30">
        <v>3.8376000000000006</v>
      </c>
      <c r="G29" s="30">
        <v>0.0264</v>
      </c>
      <c r="H29" s="30">
        <v>10.853117721858979</v>
      </c>
      <c r="I29" s="30">
        <v>18.168540819257874</v>
      </c>
      <c r="J29" s="30">
        <v>0.51119999999999999</v>
      </c>
      <c r="K29" s="30">
        <v>39.850175641981856</v>
      </c>
      <c r="L29" s="30">
        <f t="shared" si="0"/>
        <v>8.3357278969731023</v>
      </c>
      <c r="M29" s="30">
        <v>-1.668489881069835</v>
      </c>
      <c r="N29" s="30">
        <v>0.15044718099710669</v>
      </c>
      <c r="O29" s="97">
        <v>1.1332500000000001</v>
      </c>
      <c r="P29" s="30">
        <v>1.7325000000000004</v>
      </c>
      <c r="Q29" s="30">
        <v>2.9677500000000001</v>
      </c>
      <c r="R29" s="30">
        <v>0.10200000000000001</v>
      </c>
      <c r="S29" s="30">
        <v>10.818333070475203</v>
      </c>
      <c r="T29" s="30">
        <v>17.72352877977816</v>
      </c>
      <c r="U29" s="30">
        <v>0.42525000000000007</v>
      </c>
      <c r="V29" s="30">
        <v>38.436960138884004</v>
      </c>
      <c r="W29" s="30">
        <f t="shared" si="1"/>
        <v>9.546289936444035</v>
      </c>
      <c r="X29" s="30">
        <v>-1.6328072322980114</v>
      </c>
      <c r="Y29" s="30">
        <v>0.13196513469751647</v>
      </c>
      <c r="Z29" s="32">
        <f t="shared" si="2"/>
        <v>0.16874999999999996</v>
      </c>
    </row>
    <row r="30">
      <c r="A30" s="43" t="s">
        <v>139</v>
      </c>
      <c r="B30" s="98">
        <v>1</v>
      </c>
      <c r="C30" s="101">
        <v>7.0499999999999998</v>
      </c>
      <c r="D30" s="30">
        <v>1.0469999999999999</v>
      </c>
      <c r="E30" s="30">
        <v>1.5470000000000004</v>
      </c>
      <c r="F30" s="30">
        <v>2.6859999999999999</v>
      </c>
      <c r="G30" s="30">
        <v>0.092000000000000012</v>
      </c>
      <c r="H30" s="30">
        <v>10.41589620264952</v>
      </c>
      <c r="I30" s="30">
        <v>17.826412170859022</v>
      </c>
      <c r="J30" s="30">
        <v>0.37600000000000006</v>
      </c>
      <c r="K30" s="30">
        <v>38.862413201125271</v>
      </c>
      <c r="L30" s="30">
        <f t="shared" si="0"/>
        <v>9.9483249308973463</v>
      </c>
      <c r="M30" s="30">
        <v>-1.5453952104883466</v>
      </c>
      <c r="N30" s="30">
        <v>0.14396395152032496</v>
      </c>
      <c r="O30" s="97">
        <v>1.0620000000000001</v>
      </c>
      <c r="P30" s="30">
        <v>1.3140000000000001</v>
      </c>
      <c r="Q30" s="30">
        <v>2.5079999999999996</v>
      </c>
      <c r="R30" s="30">
        <v>0.13200000000000001</v>
      </c>
      <c r="S30" s="30">
        <v>10.450189617010171</v>
      </c>
      <c r="T30" s="30">
        <v>15.696369845603934</v>
      </c>
      <c r="U30" s="30">
        <v>0.50314285714285722</v>
      </c>
      <c r="V30" s="30">
        <v>49.540027403299256</v>
      </c>
      <c r="W30" s="30">
        <f t="shared" si="1"/>
        <v>9.8401032175237013</v>
      </c>
      <c r="X30" s="30">
        <v>-1.6131083022346222</v>
      </c>
      <c r="Y30" s="30">
        <v>0.10730948805636044</v>
      </c>
      <c r="Z30" s="32">
        <f t="shared" si="2"/>
        <v>-0.015000000000000124</v>
      </c>
    </row>
    <row r="31">
      <c r="A31" s="42" t="s">
        <v>138</v>
      </c>
      <c r="B31" s="98">
        <v>1</v>
      </c>
      <c r="C31" s="101">
        <v>7.0499999999999998</v>
      </c>
      <c r="D31" s="30">
        <v>0.4356000000000001</v>
      </c>
      <c r="E31" s="30">
        <v>0.75120000000000009</v>
      </c>
      <c r="F31" s="30">
        <v>1.3248000000000002</v>
      </c>
      <c r="G31" s="30">
        <v>0.13800000000000001</v>
      </c>
      <c r="H31" s="30">
        <v>10.626521284401681</v>
      </c>
      <c r="I31" s="30">
        <v>18.922781075514941</v>
      </c>
      <c r="J31" s="30">
        <v>0.25200000000000006</v>
      </c>
      <c r="K31" s="30">
        <v>56.32263852266194</v>
      </c>
      <c r="L31" s="30">
        <f t="shared" si="0"/>
        <v>24.395136098259133</v>
      </c>
      <c r="M31" s="30">
        <v>-1.4054561871135054</v>
      </c>
      <c r="N31" s="30">
        <v>0.25147588645480756</v>
      </c>
      <c r="O31" s="97">
        <v>0.47039999999999998</v>
      </c>
      <c r="P31" s="30">
        <v>0.50760000000000005</v>
      </c>
      <c r="Q31" s="30">
        <v>1.0662</v>
      </c>
      <c r="R31" s="30">
        <v>0.088200000000000001</v>
      </c>
      <c r="S31" s="30">
        <v>10.934813989604947</v>
      </c>
      <c r="T31" s="30">
        <v>18.1117982663921</v>
      </c>
      <c r="U31" s="30">
        <v>0.23760000000000003</v>
      </c>
      <c r="V31" s="30">
        <v>49.986054538146711</v>
      </c>
      <c r="W31" s="30">
        <f t="shared" si="1"/>
        <v>23.245778039126165</v>
      </c>
      <c r="X31" s="30">
        <v>-1.4527752294531995</v>
      </c>
      <c r="Y31" s="30">
        <v>0.44776848798589119</v>
      </c>
      <c r="Z31" s="32">
        <f t="shared" si="2"/>
        <v>-0.034799999999999887</v>
      </c>
    </row>
    <row r="32">
      <c r="A32" s="42" t="s">
        <v>139</v>
      </c>
      <c r="B32" s="98">
        <v>1</v>
      </c>
      <c r="C32" s="43">
        <v>7.0700000000000003</v>
      </c>
      <c r="D32" s="30">
        <v>0.65200000000000002</v>
      </c>
      <c r="E32" s="30">
        <v>1.1933333333333334</v>
      </c>
      <c r="F32" s="30">
        <v>2.0626666666666669</v>
      </c>
      <c r="G32" s="30">
        <v>0.21733333333333338</v>
      </c>
      <c r="H32" s="30">
        <v>10.935872965229164</v>
      </c>
      <c r="I32" s="30">
        <v>17.644291345096626</v>
      </c>
      <c r="J32" s="30">
        <v>0.33000000000000002</v>
      </c>
      <c r="K32" s="30">
        <v>51.205797784247004</v>
      </c>
      <c r="L32" s="30">
        <f t="shared" si="0"/>
        <v>16.772811296363749</v>
      </c>
      <c r="M32" s="30">
        <v>-1.4795975499635505</v>
      </c>
      <c r="N32" s="30">
        <v>0.17609201886854334</v>
      </c>
      <c r="O32" s="97">
        <v>0.59899999999999998</v>
      </c>
      <c r="P32" s="30">
        <v>0.63600000000000001</v>
      </c>
      <c r="Q32" s="30">
        <v>1.5440000000000003</v>
      </c>
      <c r="R32" s="30">
        <v>0.309</v>
      </c>
      <c r="S32" s="30">
        <v>10.461546950402273</v>
      </c>
      <c r="T32" s="30">
        <v>17.696288511632464</v>
      </c>
      <c r="U32" s="30">
        <v>0.311</v>
      </c>
      <c r="V32" s="30">
        <v>52.666718922454244</v>
      </c>
      <c r="W32" s="30">
        <f t="shared" si="1"/>
        <v>17.465019950588101</v>
      </c>
      <c r="X32" s="30">
        <v>-1.4682067220290962</v>
      </c>
      <c r="Y32" s="30">
        <v>0.11194158957830364</v>
      </c>
      <c r="Z32" s="32">
        <f t="shared" si="2"/>
        <v>0.053000000000000047</v>
      </c>
    </row>
    <row r="33">
      <c r="A33" s="42" t="s">
        <v>138</v>
      </c>
      <c r="B33" s="98">
        <v>1</v>
      </c>
      <c r="C33" s="101">
        <v>7.0700000000000003</v>
      </c>
      <c r="D33" s="30">
        <v>0.47160000000000002</v>
      </c>
      <c r="E33" s="30">
        <v>0.77400000000000002</v>
      </c>
      <c r="F33" s="30">
        <v>1.2630000000000001</v>
      </c>
      <c r="G33" s="30">
        <v>0.017400000000000002</v>
      </c>
      <c r="H33" s="30">
        <v>10.550409175903678</v>
      </c>
      <c r="I33" s="30">
        <v>18.419441578237347</v>
      </c>
      <c r="J33" s="30">
        <v>0.22739999999999999</v>
      </c>
      <c r="K33" s="30">
        <v>48.102668538032582</v>
      </c>
      <c r="L33" s="30">
        <f t="shared" si="0"/>
        <v>22.371520729227473</v>
      </c>
      <c r="M33" s="30">
        <v>-1.4056431569158467</v>
      </c>
      <c r="N33" s="30">
        <v>0.092024579965764075</v>
      </c>
      <c r="O33" s="97">
        <v>0.4824</v>
      </c>
      <c r="P33" s="30">
        <v>0.64380000000000004</v>
      </c>
      <c r="Q33" s="30">
        <v>1.1634</v>
      </c>
      <c r="R33" s="30">
        <v>0.037200000000000004</v>
      </c>
      <c r="S33" s="30">
        <v>10.410595989847611</v>
      </c>
      <c r="T33" s="30">
        <v>17.266117420750014</v>
      </c>
      <c r="U33" s="30">
        <v>0.219</v>
      </c>
      <c r="V33" s="30">
        <v>45.761405691784461</v>
      </c>
      <c r="W33" s="30">
        <f t="shared" si="1"/>
        <v>21.580837458224732</v>
      </c>
      <c r="X33" s="30">
        <v>-1.4313808970409474</v>
      </c>
      <c r="Y33" s="30">
        <v>0.090820802532139616</v>
      </c>
      <c r="Z33" s="32">
        <f t="shared" si="2"/>
        <v>-0.010799999999999976</v>
      </c>
    </row>
    <row r="34">
      <c r="A34" s="62" t="s">
        <v>138</v>
      </c>
      <c r="B34" s="104">
        <v>1</v>
      </c>
      <c r="C34" s="105">
        <v>7.0899999999999999</v>
      </c>
      <c r="D34" s="30">
        <v>0.93599999999999994</v>
      </c>
      <c r="E34" s="30">
        <v>1.712</v>
      </c>
      <c r="F34" s="30">
        <v>2.7440000000000002</v>
      </c>
      <c r="G34" s="30">
        <v>0.096000000000000016</v>
      </c>
      <c r="H34" s="30">
        <v>10.014483948155734</v>
      </c>
      <c r="I34" s="30">
        <v>17.984336533803845</v>
      </c>
      <c r="J34" s="30">
        <v>0.55866666666666676</v>
      </c>
      <c r="K34" s="30">
        <v>57.539200352092749</v>
      </c>
      <c r="L34" s="30">
        <f t="shared" si="0"/>
        <v>10.69923498734587</v>
      </c>
      <c r="M34" s="30">
        <v>-1.4747844659635119</v>
      </c>
      <c r="N34" s="30">
        <v>0.11027359156667298</v>
      </c>
      <c r="O34" s="97">
        <v>1.0307999999999999</v>
      </c>
      <c r="P34" s="30">
        <v>1.2180000000000002</v>
      </c>
      <c r="Q34" s="30">
        <v>2.3262</v>
      </c>
      <c r="R34" s="30">
        <v>0.077399999999999997</v>
      </c>
      <c r="S34" s="30">
        <v>10.135565942351525</v>
      </c>
      <c r="T34" s="30">
        <v>16.029411178765606</v>
      </c>
      <c r="U34" s="30">
        <v>0.67979999999999996</v>
      </c>
      <c r="V34" s="30">
        <v>65.556147356188404</v>
      </c>
      <c r="W34" s="30">
        <f t="shared" ref="W34:W95" si="3">S34/O34</f>
        <v>9.8327182211404001</v>
      </c>
      <c r="X34" s="30">
        <v>-1.5626318985080943</v>
      </c>
      <c r="Y34" s="30">
        <v>0.29543212661248985</v>
      </c>
      <c r="Z34" s="32">
        <f t="shared" ref="Z34:Z95" si="4">D34-O34</f>
        <v>-0.094799999999999995</v>
      </c>
    </row>
    <row r="35" ht="15">
      <c r="A35" s="64" t="s">
        <v>139</v>
      </c>
      <c r="B35" s="106">
        <v>1</v>
      </c>
      <c r="C35" s="65">
        <v>7.1100000000000003</v>
      </c>
      <c r="D35" s="30">
        <v>1.02</v>
      </c>
      <c r="E35" s="30">
        <v>1.3222499999999999</v>
      </c>
      <c r="F35" s="30">
        <v>2.3775000000000004</v>
      </c>
      <c r="G35" s="30">
        <v>0.035250000000000004</v>
      </c>
      <c r="H35" s="30">
        <v>10.502257623684761</v>
      </c>
      <c r="I35" s="30">
        <v>17.914107954555611</v>
      </c>
      <c r="J35" s="30">
        <v>0.51975000000000005</v>
      </c>
      <c r="K35" s="30">
        <v>52.352489330313318</v>
      </c>
      <c r="L35" s="30">
        <f t="shared" si="0"/>
        <v>10.29633100361251</v>
      </c>
      <c r="M35" s="30">
        <v>-1.5953085687637405</v>
      </c>
      <c r="N35" s="30">
        <v>0.16778021228243126</v>
      </c>
      <c r="O35" s="97">
        <v>0.91379999999999995</v>
      </c>
      <c r="P35" s="30">
        <v>1.1165999999999998</v>
      </c>
      <c r="Q35" s="30">
        <v>2.0670000000000002</v>
      </c>
      <c r="R35" s="30">
        <v>0.036600000000000008</v>
      </c>
      <c r="S35" s="30">
        <v>10.549518144733369</v>
      </c>
      <c r="T35" s="30">
        <v>17.243761791552277</v>
      </c>
      <c r="U35" s="30">
        <v>0.49920000000000009</v>
      </c>
      <c r="V35" s="30">
        <v>50.848317323587125</v>
      </c>
      <c r="W35" s="30">
        <f t="shared" si="3"/>
        <v>11.544668575983115</v>
      </c>
      <c r="X35" s="30">
        <v>-1.6010232938897482</v>
      </c>
      <c r="Y35" s="30">
        <v>0.11493698382019465</v>
      </c>
      <c r="Z35" s="32">
        <f t="shared" si="4"/>
        <v>0.10620000000000007</v>
      </c>
    </row>
    <row r="36">
      <c r="A36" s="28" t="s">
        <v>138</v>
      </c>
      <c r="B36" s="96">
        <v>1</v>
      </c>
      <c r="C36" s="29">
        <v>8</v>
      </c>
      <c r="D36" s="30">
        <v>0.85999999999999999</v>
      </c>
      <c r="E36" s="30">
        <v>1.5309999999999999</v>
      </c>
      <c r="F36" s="30">
        <v>2.3910000000000005</v>
      </c>
      <c r="G36" s="30">
        <v>0</v>
      </c>
      <c r="H36" s="30">
        <v>10.322389509495444</v>
      </c>
      <c r="I36" s="30">
        <v>17.698674561603571</v>
      </c>
      <c r="J36" s="30">
        <v>0.33700000000000002</v>
      </c>
      <c r="K36" s="30">
        <v>37.313643384180786</v>
      </c>
      <c r="L36" s="30">
        <f t="shared" si="0"/>
        <v>12.002778499413308</v>
      </c>
      <c r="M36" s="30">
        <v>-1.6427748040613166</v>
      </c>
      <c r="N36" s="30">
        <v>0.19962859831825827</v>
      </c>
      <c r="O36" s="97">
        <v>1.2514285714285716</v>
      </c>
      <c r="P36" s="30">
        <v>1.1322857142857143</v>
      </c>
      <c r="Q36" s="30">
        <v>2.4608571428571429</v>
      </c>
      <c r="R36" s="30">
        <v>0.077142857142857152</v>
      </c>
      <c r="S36" s="30">
        <v>10.136338770718604</v>
      </c>
      <c r="T36" s="30">
        <v>17.101860833012914</v>
      </c>
      <c r="U36" s="30">
        <v>0.40971428571428575</v>
      </c>
      <c r="V36" s="30">
        <v>36.572799790612422</v>
      </c>
      <c r="W36" s="30">
        <f t="shared" si="3"/>
        <v>8.0998140861906638</v>
      </c>
      <c r="X36" s="30">
        <v>-1.9213798054312488</v>
      </c>
      <c r="Y36" s="30">
        <v>0.18579110471193147</v>
      </c>
      <c r="Z36" s="32">
        <f t="shared" si="4"/>
        <v>-0.39142857142857157</v>
      </c>
    </row>
    <row r="37">
      <c r="A37" s="42" t="s">
        <v>139</v>
      </c>
      <c r="B37" s="98">
        <v>1</v>
      </c>
      <c r="C37" s="42">
        <v>8</v>
      </c>
      <c r="D37" s="30">
        <v>0.93975000000000009</v>
      </c>
      <c r="E37" s="30">
        <v>1.29375</v>
      </c>
      <c r="F37" s="30">
        <v>2.2702500000000003</v>
      </c>
      <c r="G37" s="30">
        <v>0.036749999999999998</v>
      </c>
      <c r="H37" s="30">
        <v>10.430286538914602</v>
      </c>
      <c r="I37" s="30">
        <v>18.186763627771715</v>
      </c>
      <c r="J37" s="30">
        <v>0.64500000000000002</v>
      </c>
      <c r="K37" s="30">
        <v>67.187991761555267</v>
      </c>
      <c r="L37" s="30">
        <f t="shared" si="0"/>
        <v>11.09900137155052</v>
      </c>
      <c r="M37" s="30">
        <v>-1.6483220511819543</v>
      </c>
      <c r="N37" s="30">
        <v>0.11434804297401241</v>
      </c>
      <c r="O37" s="97">
        <v>0.96685714285714297</v>
      </c>
      <c r="P37" s="30">
        <v>0.95657142857142863</v>
      </c>
      <c r="Q37" s="30">
        <v>1.9894285714285711</v>
      </c>
      <c r="R37" s="30">
        <v>0.066000000000000017</v>
      </c>
      <c r="S37" s="30">
        <v>10.70582708351759</v>
      </c>
      <c r="T37" s="30">
        <v>17.857976566748906</v>
      </c>
      <c r="U37" s="30">
        <v>0.52275000000000005</v>
      </c>
      <c r="V37" s="30">
        <v>55.386407483186936</v>
      </c>
      <c r="W37" s="30">
        <f t="shared" si="3"/>
        <v>11.072811699855663</v>
      </c>
      <c r="X37" s="30">
        <v>-1.6265762600098637</v>
      </c>
      <c r="Y37" s="30">
        <v>0.10397104824246595</v>
      </c>
      <c r="Z37" s="32">
        <f t="shared" si="4"/>
        <v>-0.027107142857142885</v>
      </c>
    </row>
    <row r="38">
      <c r="A38" s="42" t="s">
        <v>138</v>
      </c>
      <c r="B38" s="98">
        <v>1</v>
      </c>
      <c r="C38" s="101">
        <v>8.0099999999999998</v>
      </c>
      <c r="D38" s="30">
        <v>0.65333333333333343</v>
      </c>
      <c r="E38" s="30">
        <v>1.1033333333333333</v>
      </c>
      <c r="F38" s="30">
        <v>1.784</v>
      </c>
      <c r="G38" s="30">
        <v>0.027333333333333334</v>
      </c>
      <c r="H38" s="30">
        <v>10.468817299835841</v>
      </c>
      <c r="I38" s="30">
        <v>18.031411932588725</v>
      </c>
      <c r="J38" s="30">
        <v>0.31666666666666665</v>
      </c>
      <c r="K38" s="30">
        <v>47.809849059638736</v>
      </c>
      <c r="L38" s="30">
        <f t="shared" si="0"/>
        <v>16.023699948728325</v>
      </c>
      <c r="M38" s="30">
        <v>-1.4760719713431396</v>
      </c>
      <c r="N38" s="30">
        <v>0.083890738952014696</v>
      </c>
      <c r="O38" s="97">
        <v>0.75540000000000007</v>
      </c>
      <c r="P38" s="30">
        <v>1.1640000000000001</v>
      </c>
      <c r="Q38" s="30">
        <v>1.9272000000000002</v>
      </c>
      <c r="R38" s="30">
        <v>0.0077999999999999996</v>
      </c>
      <c r="S38" s="30">
        <v>10.641539198285804</v>
      </c>
      <c r="T38" s="30">
        <v>18.179319269399649</v>
      </c>
      <c r="U38" s="30">
        <v>0.3528</v>
      </c>
      <c r="V38" s="30">
        <v>47.553750402359661</v>
      </c>
      <c r="W38" s="30">
        <f t="shared" si="3"/>
        <v>14.087290439880597</v>
      </c>
      <c r="X38" s="30">
        <v>-1.4876043333787563</v>
      </c>
      <c r="Y38" s="30">
        <v>0.13370302893979361</v>
      </c>
      <c r="Z38" s="32">
        <f t="shared" si="4"/>
        <v>-0.10206666666666664</v>
      </c>
    </row>
    <row r="39">
      <c r="A39" s="42" t="s">
        <v>138</v>
      </c>
      <c r="B39" s="98">
        <v>2</v>
      </c>
      <c r="C39" s="101">
        <v>8.0099999999999998</v>
      </c>
      <c r="D39" s="30">
        <v>0.73799999999999999</v>
      </c>
      <c r="E39" s="30">
        <v>1.0686666666666667</v>
      </c>
      <c r="F39" s="30">
        <v>2.1573333333333333</v>
      </c>
      <c r="G39" s="30">
        <v>0.35066666666666668</v>
      </c>
      <c r="H39" s="30">
        <v>10.426987955946368</v>
      </c>
      <c r="I39" s="30">
        <v>17.703449291588932</v>
      </c>
      <c r="J39" s="30">
        <v>0.32066666666666671</v>
      </c>
      <c r="K39" s="30">
        <v>43.227148899331418</v>
      </c>
      <c r="L39" s="30">
        <f t="shared" si="0"/>
        <v>14.128709967407003</v>
      </c>
      <c r="M39" s="30">
        <v>-1.4992157711834322</v>
      </c>
      <c r="N39" s="30">
        <v>0.10858111330823678</v>
      </c>
      <c r="O39" s="97">
        <v>0.67500000000000004</v>
      </c>
      <c r="P39" s="30">
        <v>1.0104000000000002</v>
      </c>
      <c r="Q39" s="30">
        <v>1.7070000000000001</v>
      </c>
      <c r="R39" s="30">
        <v>0.021600000000000001</v>
      </c>
      <c r="S39" s="30">
        <v>10.586881632087545</v>
      </c>
      <c r="T39" s="30">
        <v>17.275687960469355</v>
      </c>
      <c r="U39" s="30">
        <v>0.3054</v>
      </c>
      <c r="V39" s="30">
        <v>44.643055252644544</v>
      </c>
      <c r="W39" s="30">
        <f t="shared" si="3"/>
        <v>15.68426908457414</v>
      </c>
      <c r="X39" s="30">
        <v>-1.520718729330595</v>
      </c>
      <c r="Y39" s="30">
        <v>0.18350808638027602</v>
      </c>
      <c r="Z39" s="32">
        <f t="shared" si="4"/>
        <v>0.062999999999999945</v>
      </c>
    </row>
    <row r="40">
      <c r="A40" s="42" t="s">
        <v>138</v>
      </c>
      <c r="B40" s="98">
        <v>2</v>
      </c>
      <c r="C40" s="101">
        <v>8.0099999999999998</v>
      </c>
      <c r="D40" s="30">
        <v>0.65142857142857147</v>
      </c>
      <c r="E40" s="30">
        <v>0.90428571428571425</v>
      </c>
      <c r="F40" s="30">
        <v>1.5771428571428572</v>
      </c>
      <c r="G40" s="30">
        <v>0.021428571428571432</v>
      </c>
      <c r="H40" s="30">
        <v>10.710312438688002</v>
      </c>
      <c r="I40" s="30">
        <v>17.747360172095988</v>
      </c>
      <c r="J40" s="30">
        <v>0.33857142857142858</v>
      </c>
      <c r="K40" s="30">
        <v>49.938279843949488</v>
      </c>
      <c r="L40" s="30">
        <f t="shared" si="0"/>
        <v>16.441269094477196</v>
      </c>
      <c r="M40" s="30">
        <v>-1.472819366507895</v>
      </c>
      <c r="N40" s="30">
        <v>0.23620825238180107</v>
      </c>
      <c r="O40" s="97">
        <v>0.6253333333333333</v>
      </c>
      <c r="P40" s="30">
        <v>0.79666666666666675</v>
      </c>
      <c r="Q40" s="30">
        <v>1.4253333333333336</v>
      </c>
      <c r="R40" s="30">
        <v>0.0033333333333333335</v>
      </c>
      <c r="S40" s="30">
        <v>10.229905977886254</v>
      </c>
      <c r="T40" s="30">
        <v>17.33821211252906</v>
      </c>
      <c r="U40" s="30">
        <v>0.32400000000000007</v>
      </c>
      <c r="V40" s="30">
        <v>51.135760138088877</v>
      </c>
      <c r="W40" s="30">
        <f t="shared" si="3"/>
        <v>16.359124698112346</v>
      </c>
      <c r="X40" s="30">
        <v>-1.5096715135209799</v>
      </c>
      <c r="Y40" s="30">
        <v>0.16465140343680665</v>
      </c>
      <c r="Z40" s="32">
        <f t="shared" si="4"/>
        <v>0.026095238095238171</v>
      </c>
    </row>
    <row r="41">
      <c r="A41" s="43" t="s">
        <v>139</v>
      </c>
      <c r="B41" s="98">
        <v>1</v>
      </c>
      <c r="C41" s="101">
        <v>8.0199999999999996</v>
      </c>
      <c r="D41" s="30">
        <v>1.6460000000000001</v>
      </c>
      <c r="E41" s="30">
        <v>1.6760000000000002</v>
      </c>
      <c r="F41" s="30">
        <v>3.3740000000000001</v>
      </c>
      <c r="G41" s="30">
        <v>0.051999999999999998</v>
      </c>
      <c r="H41" s="30">
        <v>12.010021317546224</v>
      </c>
      <c r="I41" s="30">
        <v>17.805764642336623</v>
      </c>
      <c r="J41" s="30">
        <v>0.69200000000000006</v>
      </c>
      <c r="K41" s="30">
        <v>44.630380887987371</v>
      </c>
      <c r="L41" s="30">
        <f t="shared" si="0"/>
        <v>7.2964892573184832</v>
      </c>
      <c r="M41" s="30">
        <v>-1.7274018253657693</v>
      </c>
      <c r="N41" s="30">
        <v>0.36941523158144635</v>
      </c>
      <c r="O41" s="97">
        <v>1.0716000000000001</v>
      </c>
      <c r="P41" s="30">
        <v>0.83399999999999996</v>
      </c>
      <c r="Q41" s="30">
        <v>2.1120000000000001</v>
      </c>
      <c r="R41" s="30">
        <v>0.2064</v>
      </c>
      <c r="S41" s="30">
        <v>10.536023826186275</v>
      </c>
      <c r="T41" s="30">
        <v>17.21250510878334</v>
      </c>
      <c r="U41" s="30">
        <v>0.38400000000000006</v>
      </c>
      <c r="V41" s="30">
        <v>39.070536903913421</v>
      </c>
      <c r="W41" s="30">
        <f t="shared" si="3"/>
        <v>9.8320491099162695</v>
      </c>
      <c r="X41" s="30">
        <v>-1.6062493306286862</v>
      </c>
      <c r="Y41" s="30">
        <v>0.15692555359000379</v>
      </c>
      <c r="Z41" s="32">
        <f t="shared" si="4"/>
        <v>0.57440000000000002</v>
      </c>
    </row>
    <row r="42">
      <c r="A42" s="42" t="s">
        <v>138</v>
      </c>
      <c r="B42" s="98">
        <v>2</v>
      </c>
      <c r="C42" s="101">
        <v>8.0199999999999996</v>
      </c>
      <c r="D42" s="30">
        <v>0.8670000000000001</v>
      </c>
      <c r="E42" s="30">
        <v>1.2930000000000001</v>
      </c>
      <c r="F42" s="30">
        <v>2.2110000000000003</v>
      </c>
      <c r="G42" s="30">
        <v>0.051000000000000004</v>
      </c>
      <c r="H42" s="30">
        <v>10.544947371248629</v>
      </c>
      <c r="I42" s="30">
        <v>17.714902153710391</v>
      </c>
      <c r="J42" s="30">
        <v>0.47099999999999997</v>
      </c>
      <c r="K42" s="30">
        <v>54.669598292871477</v>
      </c>
      <c r="L42" s="30">
        <f t="shared" si="0"/>
        <v>12.16256905565009</v>
      </c>
      <c r="M42" s="30">
        <v>-1.5012429645388641</v>
      </c>
      <c r="N42" s="30">
        <v>0.20290821596527656</v>
      </c>
      <c r="O42" s="97">
        <v>0.57466666666666677</v>
      </c>
      <c r="P42" s="30">
        <v>0.53400000000000003</v>
      </c>
      <c r="Q42" s="30">
        <v>1.1860000000000002</v>
      </c>
      <c r="R42" s="30">
        <v>0.077333333333333337</v>
      </c>
      <c r="S42" s="30">
        <v>10.821393953266817</v>
      </c>
      <c r="T42" s="30">
        <v>18.461840869122042</v>
      </c>
      <c r="U42" s="30">
        <v>0.26333333333333336</v>
      </c>
      <c r="V42" s="30">
        <v>45.561523927864279</v>
      </c>
      <c r="W42" s="30">
        <f t="shared" si="3"/>
        <v>18.830731937239239</v>
      </c>
      <c r="X42" s="30">
        <v>-1.4528319210411755</v>
      </c>
      <c r="Y42" s="30">
        <v>0.19708856728804747</v>
      </c>
      <c r="Z42" s="32">
        <f t="shared" si="4"/>
        <v>0.29233333333333333</v>
      </c>
    </row>
    <row r="43">
      <c r="A43" s="42" t="s">
        <v>138</v>
      </c>
      <c r="B43" s="98">
        <v>1</v>
      </c>
      <c r="C43" s="101">
        <v>8.0399999999999991</v>
      </c>
      <c r="D43" s="30">
        <v>0.55333333333333334</v>
      </c>
      <c r="E43" s="30">
        <v>0.69266666666666665</v>
      </c>
      <c r="F43" s="30">
        <v>1.2973333333333334</v>
      </c>
      <c r="G43" s="30">
        <v>0.051333333333333335</v>
      </c>
      <c r="H43" s="30">
        <v>10.6440028559011</v>
      </c>
      <c r="I43" s="30">
        <v>18.064869324604054</v>
      </c>
      <c r="J43" s="30">
        <v>0.28200000000000003</v>
      </c>
      <c r="K43" s="30">
        <v>51.338912554694453</v>
      </c>
      <c r="L43" s="30">
        <f t="shared" si="0"/>
        <v>19.236149739580302</v>
      </c>
      <c r="M43" s="30">
        <v>-1.4711092927592273</v>
      </c>
      <c r="N43" s="30">
        <v>0.2088620893456255</v>
      </c>
      <c r="O43" s="97">
        <v>0.58800000000000008</v>
      </c>
      <c r="P43" s="30">
        <v>0.55133333333333345</v>
      </c>
      <c r="Q43" s="30">
        <v>1.2120000000000002</v>
      </c>
      <c r="R43" s="30">
        <v>0.072666666666666685</v>
      </c>
      <c r="S43" s="30">
        <v>10.659861032348021</v>
      </c>
      <c r="T43" s="30">
        <v>18.038122633368843</v>
      </c>
      <c r="U43" s="30">
        <v>0.31866666666666665</v>
      </c>
      <c r="V43" s="30">
        <v>54.249099231182967</v>
      </c>
      <c r="W43" s="30">
        <f t="shared" si="3"/>
        <v>18.129015361136087</v>
      </c>
      <c r="X43" s="30">
        <v>-1.4607811689991539</v>
      </c>
      <c r="Y43" s="30">
        <v>0.16892739176156518</v>
      </c>
      <c r="Z43" s="32">
        <f t="shared" si="4"/>
        <v>-0.034666666666666734</v>
      </c>
    </row>
    <row r="44">
      <c r="A44" s="43" t="s">
        <v>139</v>
      </c>
      <c r="B44" s="98">
        <v>1</v>
      </c>
      <c r="C44" s="101">
        <v>8.0500000000000007</v>
      </c>
      <c r="D44" s="30">
        <v>0.72359999999999991</v>
      </c>
      <c r="E44" s="30">
        <v>1.0152000000000001</v>
      </c>
      <c r="F44" s="30">
        <v>1.8936000000000004</v>
      </c>
      <c r="G44" s="30">
        <v>0.15479999999999999</v>
      </c>
      <c r="H44" s="30">
        <v>10.386224391476096</v>
      </c>
      <c r="I44" s="30">
        <v>17.269616515561896</v>
      </c>
      <c r="J44" s="30">
        <v>0.31920000000000004</v>
      </c>
      <c r="K44" s="30">
        <v>43.711823601649662</v>
      </c>
      <c r="L44" s="30">
        <f t="shared" si="0"/>
        <v>14.353543935152153</v>
      </c>
      <c r="M44" s="30">
        <v>-1.4593410351128566</v>
      </c>
      <c r="N44" s="30">
        <v>0.18008884628484995</v>
      </c>
      <c r="O44" s="97">
        <v>0.69179999999999997</v>
      </c>
      <c r="P44" s="30">
        <v>0.65700000000000003</v>
      </c>
      <c r="Q44" s="30">
        <v>1.4010000000000002</v>
      </c>
      <c r="R44" s="30">
        <v>0.052200000000000003</v>
      </c>
      <c r="S44" s="30">
        <v>10.624634474771334</v>
      </c>
      <c r="T44" s="30">
        <v>17.083459109747317</v>
      </c>
      <c r="U44" s="30">
        <v>0.3246</v>
      </c>
      <c r="V44" s="30">
        <v>48.213666354314554</v>
      </c>
      <c r="W44" s="30">
        <f t="shared" si="3"/>
        <v>15.357956742947867</v>
      </c>
      <c r="X44" s="30">
        <v>-1.5012589401866703</v>
      </c>
      <c r="Y44" s="30">
        <v>0.21811335669967344</v>
      </c>
      <c r="Z44" s="32">
        <f t="shared" si="4"/>
        <v>0.031799999999999939</v>
      </c>
    </row>
    <row r="45">
      <c r="A45" s="42" t="s">
        <v>138</v>
      </c>
      <c r="B45" s="98">
        <v>1</v>
      </c>
      <c r="C45" s="101">
        <v>8.0600000000000005</v>
      </c>
      <c r="D45" s="30">
        <v>0.66133333333333333</v>
      </c>
      <c r="E45" s="30">
        <v>1.0766666666666669</v>
      </c>
      <c r="F45" s="30">
        <v>1.7526666666666668</v>
      </c>
      <c r="G45" s="30">
        <v>0.014666666666666668</v>
      </c>
      <c r="H45" s="30">
        <v>10.153857130121459</v>
      </c>
      <c r="I45" s="30">
        <v>18.105064683822921</v>
      </c>
      <c r="J45" s="30">
        <v>0.29600000000000004</v>
      </c>
      <c r="K45" s="30">
        <v>45.015401604229183</v>
      </c>
      <c r="L45" s="30">
        <f t="shared" si="0"/>
        <v>15.353614612078818</v>
      </c>
      <c r="M45" s="30">
        <v>-1.5216762306421208</v>
      </c>
      <c r="N45" s="30">
        <v>0.15789623204605971</v>
      </c>
      <c r="O45" s="97">
        <v>0.55666666666666687</v>
      </c>
      <c r="P45" s="30">
        <v>0.70333333333333359</v>
      </c>
      <c r="Q45" s="30">
        <v>1.276</v>
      </c>
      <c r="R45" s="30">
        <v>0.016</v>
      </c>
      <c r="S45" s="30">
        <v>10.520751365810753</v>
      </c>
      <c r="T45" s="30">
        <v>17.730443024603474</v>
      </c>
      <c r="U45" s="30">
        <v>0.24466666666666667</v>
      </c>
      <c r="V45" s="30">
        <v>43.728408616247478</v>
      </c>
      <c r="W45" s="30">
        <f t="shared" si="3"/>
        <v>18.899553351755838</v>
      </c>
      <c r="X45" s="30">
        <v>-1.5020479633184844</v>
      </c>
      <c r="Y45" s="30">
        <v>0.13738061934851378</v>
      </c>
      <c r="Z45" s="32">
        <f t="shared" si="4"/>
        <v>0.10466666666666646</v>
      </c>
    </row>
    <row r="46">
      <c r="A46" s="42" t="s">
        <v>139</v>
      </c>
      <c r="B46" s="98">
        <v>2</v>
      </c>
      <c r="C46" s="43">
        <v>8.0800000000000001</v>
      </c>
      <c r="D46" s="30">
        <v>1.1086666666666669</v>
      </c>
      <c r="E46" s="30">
        <v>1.7833333333333334</v>
      </c>
      <c r="F46" s="30">
        <v>2.8959999999999999</v>
      </c>
      <c r="G46" s="30">
        <v>0.0040000000000000001</v>
      </c>
      <c r="H46" s="30">
        <v>10.790191530041881</v>
      </c>
      <c r="I46" s="30">
        <v>17.80245534243031</v>
      </c>
      <c r="J46" s="30">
        <v>0.68400000000000005</v>
      </c>
      <c r="K46" s="30">
        <v>61.385944796102649</v>
      </c>
      <c r="L46" s="30">
        <f t="shared" si="0"/>
        <v>9.732584061974034</v>
      </c>
      <c r="M46" s="30">
        <v>-1.6548825792093047</v>
      </c>
      <c r="N46" s="30">
        <v>0.13071621572555048</v>
      </c>
      <c r="O46" s="97">
        <v>0.96933333333333338</v>
      </c>
      <c r="P46" s="30">
        <v>1.0360000000000003</v>
      </c>
      <c r="Q46" s="30">
        <v>2.0120000000000005</v>
      </c>
      <c r="R46" s="30">
        <v>0.0066666666666666671</v>
      </c>
      <c r="S46" s="30">
        <v>10.339086513165816</v>
      </c>
      <c r="T46" s="30">
        <v>16.805634119760423</v>
      </c>
      <c r="U46" s="30">
        <v>0.58133333333333348</v>
      </c>
      <c r="V46" s="30">
        <v>59.404185486064677</v>
      </c>
      <c r="W46" s="30">
        <f t="shared" si="3"/>
        <v>10.666182785246715</v>
      </c>
      <c r="X46" s="30">
        <v>-1.5911041655011886</v>
      </c>
      <c r="Y46" s="30">
        <v>0.12551961044978016</v>
      </c>
      <c r="Z46" s="32">
        <f t="shared" si="4"/>
        <v>0.13933333333333353</v>
      </c>
    </row>
    <row r="47">
      <c r="A47" s="42" t="s">
        <v>139</v>
      </c>
      <c r="B47" s="98">
        <v>1</v>
      </c>
      <c r="C47" s="43">
        <v>8.0800000000000001</v>
      </c>
      <c r="D47" s="30">
        <v>0.85319999999999996</v>
      </c>
      <c r="E47" s="30">
        <v>1.5252000000000001</v>
      </c>
      <c r="F47" s="30">
        <v>2.3784000000000001</v>
      </c>
      <c r="G47" s="30">
        <v>0</v>
      </c>
      <c r="H47" s="30">
        <v>10.079211122193787</v>
      </c>
      <c r="I47" s="30">
        <v>18.18657810109028</v>
      </c>
      <c r="J47" s="30">
        <v>0.41400000000000003</v>
      </c>
      <c r="K47" s="30">
        <v>48.770068295615744</v>
      </c>
      <c r="L47" s="30">
        <f t="shared" si="0"/>
        <v>11.813421380911612</v>
      </c>
      <c r="M47" s="30">
        <v>-1.5165146731995818</v>
      </c>
      <c r="N47" s="30">
        <v>0.1298342210091819</v>
      </c>
      <c r="O47" s="97">
        <v>0.91800000000000004</v>
      </c>
      <c r="P47" s="30">
        <v>0.91066666666666685</v>
      </c>
      <c r="Q47" s="30">
        <v>1.8286666666666664</v>
      </c>
      <c r="R47" s="30">
        <v>0</v>
      </c>
      <c r="S47" s="30">
        <v>10.049752580032226</v>
      </c>
      <c r="T47" s="30">
        <v>18.031029802044969</v>
      </c>
      <c r="U47" s="30">
        <v>0.39933333333333332</v>
      </c>
      <c r="V47" s="30">
        <v>42.602699791446604</v>
      </c>
      <c r="W47" s="30">
        <f t="shared" si="3"/>
        <v>10.94744289763859</v>
      </c>
      <c r="X47" s="30">
        <v>-1.6038372315956744</v>
      </c>
      <c r="Y47" s="30">
        <v>0.14888999382775203</v>
      </c>
      <c r="Z47" s="32">
        <f t="shared" si="4"/>
        <v>-0.06480000000000008</v>
      </c>
    </row>
    <row r="48">
      <c r="A48" s="42" t="s">
        <v>138</v>
      </c>
      <c r="B48" s="98">
        <v>1</v>
      </c>
      <c r="C48" s="101">
        <v>8.0800000000000001</v>
      </c>
      <c r="D48" s="30">
        <v>0.68175000000000008</v>
      </c>
      <c r="E48" s="30">
        <v>0.94574999999999998</v>
      </c>
      <c r="F48" s="30">
        <v>1.6620000000000001</v>
      </c>
      <c r="G48" s="30">
        <v>0.034500000000000003</v>
      </c>
      <c r="H48" s="30">
        <v>10.09877565265721</v>
      </c>
      <c r="I48" s="30">
        <v>18.06947007225865</v>
      </c>
      <c r="J48" s="30">
        <v>0.26100000000000001</v>
      </c>
      <c r="K48" s="30">
        <v>39.913951368751398</v>
      </c>
      <c r="L48" s="30">
        <f t="shared" si="0"/>
        <v>14.813018925789818</v>
      </c>
      <c r="M48" s="30">
        <v>-1.4919024151929932</v>
      </c>
      <c r="N48" s="30">
        <v>0.14305855308710161</v>
      </c>
      <c r="O48" s="97">
        <v>0.62057142857142866</v>
      </c>
      <c r="P48" s="30">
        <v>0.76457142857142857</v>
      </c>
      <c r="Q48" s="30">
        <v>1.4245714285714286</v>
      </c>
      <c r="R48" s="30">
        <v>0.039428571428571431</v>
      </c>
      <c r="S48" s="30">
        <v>10.613150416973811</v>
      </c>
      <c r="T48" s="30">
        <v>17.325676817704153</v>
      </c>
      <c r="U48" s="30">
        <v>0.35914285714285715</v>
      </c>
      <c r="V48" s="30">
        <v>53.696293290459543</v>
      </c>
      <c r="W48" s="30">
        <f t="shared" si="3"/>
        <v>17.102222126799418</v>
      </c>
      <c r="X48" s="30">
        <v>-1.5168051009425552</v>
      </c>
      <c r="Y48" s="30">
        <v>0.19037400767915966</v>
      </c>
      <c r="Z48" s="32">
        <f t="shared" si="4"/>
        <v>0.061178571428571416</v>
      </c>
    </row>
    <row r="49">
      <c r="A49" s="42" t="s">
        <v>138</v>
      </c>
      <c r="B49" s="100">
        <v>2</v>
      </c>
      <c r="C49" s="48">
        <v>8.0899999999999999</v>
      </c>
      <c r="D49" s="30">
        <v>0.8653333333333334</v>
      </c>
      <c r="E49" s="30">
        <v>1.236</v>
      </c>
      <c r="F49" s="30">
        <v>2.1206666666666667</v>
      </c>
      <c r="G49" s="30">
        <v>0.019333333333333334</v>
      </c>
      <c r="H49" s="30">
        <v>10.757040004893218</v>
      </c>
      <c r="I49" s="30">
        <v>17.670094861922809</v>
      </c>
      <c r="J49" s="30">
        <v>0.43266666666666675</v>
      </c>
      <c r="K49" s="30">
        <v>49.291626438744068</v>
      </c>
      <c r="L49" s="30">
        <f t="shared" si="0"/>
        <v>12.431093996409727</v>
      </c>
      <c r="M49" s="30">
        <v>-1.4966863755246456</v>
      </c>
      <c r="N49" s="30">
        <v>0.11856139548142303</v>
      </c>
      <c r="O49" s="97">
        <v>0.9866666666666668</v>
      </c>
      <c r="P49" s="30">
        <v>1.3699999999999999</v>
      </c>
      <c r="Q49" s="30">
        <v>2.3813333333333331</v>
      </c>
      <c r="R49" s="30">
        <v>0.02466666666666667</v>
      </c>
      <c r="S49" s="30">
        <v>10.479180207093629</v>
      </c>
      <c r="T49" s="30">
        <v>17.75468798442175</v>
      </c>
      <c r="U49" s="30">
        <v>0.47066666666666662</v>
      </c>
      <c r="V49" s="30">
        <v>47.483070744982783</v>
      </c>
      <c r="W49" s="30">
        <f t="shared" si="3"/>
        <v>10.620790750432731</v>
      </c>
      <c r="X49" s="30">
        <v>-1.4628299527539435</v>
      </c>
      <c r="Y49" s="30">
        <v>0.1502978052762709</v>
      </c>
      <c r="Z49" s="32">
        <f t="shared" si="4"/>
        <v>-0.1213333333333334</v>
      </c>
    </row>
    <row r="50">
      <c r="A50" s="43" t="s">
        <v>139</v>
      </c>
      <c r="B50" s="98">
        <v>1</v>
      </c>
      <c r="C50" s="101">
        <v>8.0999999999999996</v>
      </c>
      <c r="D50" s="30">
        <v>0.95025000000000004</v>
      </c>
      <c r="E50" s="30">
        <v>1.1557500000000003</v>
      </c>
      <c r="F50" s="30">
        <v>2.1270000000000002</v>
      </c>
      <c r="G50" s="30">
        <v>0.021000000000000001</v>
      </c>
      <c r="H50" s="30">
        <v>10.310905768646075</v>
      </c>
      <c r="I50" s="30">
        <v>17.817441571913385</v>
      </c>
      <c r="J50" s="30">
        <v>0.37125000000000002</v>
      </c>
      <c r="K50" s="30">
        <v>38.468622095378265</v>
      </c>
      <c r="L50" s="30">
        <f t="shared" si="0"/>
        <v>10.8507295644789</v>
      </c>
      <c r="M50" s="30">
        <v>-1.576924204002591</v>
      </c>
      <c r="N50" s="30">
        <v>0.083589122752564249</v>
      </c>
      <c r="O50" s="97">
        <v>0.92820000000000014</v>
      </c>
      <c r="P50" s="30">
        <v>0.92219999999999991</v>
      </c>
      <c r="Q50" s="30">
        <v>1.8755999999999999</v>
      </c>
      <c r="R50" s="30">
        <v>0.0252</v>
      </c>
      <c r="S50" s="30">
        <v>10.457615848198364</v>
      </c>
      <c r="T50" s="30">
        <v>17.437860961682802</v>
      </c>
      <c r="U50" s="30">
        <v>0.45300000000000001</v>
      </c>
      <c r="V50" s="30">
        <v>47.597842475442633</v>
      </c>
      <c r="W50" s="30">
        <f t="shared" si="3"/>
        <v>11.266554458304634</v>
      </c>
      <c r="X50" s="30">
        <v>-1.5923582192121462</v>
      </c>
      <c r="Y50" s="30">
        <v>0.073802342709598442</v>
      </c>
      <c r="Z50" s="32">
        <f t="shared" si="4"/>
        <v>0.022049999999999903</v>
      </c>
    </row>
    <row r="51">
      <c r="A51" s="52" t="s">
        <v>138</v>
      </c>
      <c r="B51" s="98">
        <v>1</v>
      </c>
      <c r="C51" s="61">
        <v>9</v>
      </c>
      <c r="D51" s="30">
        <v>0.68314285714285727</v>
      </c>
      <c r="E51" s="30">
        <v>1.0697142857142858</v>
      </c>
      <c r="F51" s="30">
        <v>1.776</v>
      </c>
      <c r="G51" s="30">
        <v>0.023142857142857149</v>
      </c>
      <c r="H51" s="30">
        <v>10.635951334400639</v>
      </c>
      <c r="I51" s="30">
        <v>17.501538206775532</v>
      </c>
      <c r="J51" s="30">
        <v>0.35142857142857148</v>
      </c>
      <c r="K51" s="30">
        <v>51.192755149276884</v>
      </c>
      <c r="L51" s="30">
        <f t="shared" si="0"/>
        <v>15.569146662652543</v>
      </c>
      <c r="M51" s="30">
        <v>-1.4559571380976537</v>
      </c>
      <c r="N51" s="30">
        <v>0.092812873700592644</v>
      </c>
      <c r="O51" s="97">
        <v>0.66839999999999999</v>
      </c>
      <c r="P51" s="30">
        <v>0.75480000000000003</v>
      </c>
      <c r="Q51" s="30">
        <v>1.4436</v>
      </c>
      <c r="R51" s="30">
        <v>0.020400000000000001</v>
      </c>
      <c r="S51" s="30">
        <v>10.557239942176029</v>
      </c>
      <c r="T51" s="30">
        <v>17.773474596016197</v>
      </c>
      <c r="U51" s="30">
        <v>0.36480000000000007</v>
      </c>
      <c r="V51" s="30">
        <v>54.5277845062637</v>
      </c>
      <c r="W51" s="30">
        <f t="shared" si="3"/>
        <v>15.79479345029328</v>
      </c>
      <c r="X51" s="30">
        <v>-1.5029717811678704</v>
      </c>
      <c r="Y51" s="30">
        <v>0.16520348769452656</v>
      </c>
      <c r="Z51" s="32">
        <f t="shared" si="4"/>
        <v>0.01474285714285728</v>
      </c>
    </row>
    <row r="52">
      <c r="A52" s="52" t="s">
        <v>138</v>
      </c>
      <c r="B52" s="98">
        <v>2</v>
      </c>
      <c r="C52" s="61">
        <v>9</v>
      </c>
      <c r="D52" s="30">
        <v>0.58699999999999997</v>
      </c>
      <c r="E52" s="30">
        <v>1.01</v>
      </c>
      <c r="F52" s="30">
        <v>1.7020000000000002</v>
      </c>
      <c r="G52" s="30">
        <v>0.10500000000000002</v>
      </c>
      <c r="H52" s="30">
        <v>10.365412359011199</v>
      </c>
      <c r="I52" s="30">
        <v>17.747510384919632</v>
      </c>
      <c r="J52" s="30">
        <v>0.318</v>
      </c>
      <c r="K52" s="30">
        <v>54.063201595225145</v>
      </c>
      <c r="L52" s="30">
        <f t="shared" si="0"/>
        <v>17.658283405470527</v>
      </c>
      <c r="M52" s="30">
        <v>-1.5199317426781904</v>
      </c>
      <c r="N52" s="30">
        <v>0.072274861610440139</v>
      </c>
      <c r="O52" s="97">
        <v>0.6140000000000001</v>
      </c>
      <c r="P52" s="30">
        <v>0.6080000000000001</v>
      </c>
      <c r="Q52" s="30">
        <v>1.2250000000000001</v>
      </c>
      <c r="R52" s="30">
        <v>0.0030000000000000005</v>
      </c>
      <c r="S52" s="30">
        <v>10.64287256306809</v>
      </c>
      <c r="T52" s="30">
        <v>17.627935121888637</v>
      </c>
      <c r="U52" s="30">
        <v>0.34300000000000003</v>
      </c>
      <c r="V52" s="30">
        <v>54.248862980204706</v>
      </c>
      <c r="W52" s="30">
        <f t="shared" si="3"/>
        <v>17.333668669492003</v>
      </c>
      <c r="X52" s="30">
        <v>-1.4803121557758685</v>
      </c>
      <c r="Y52" s="30">
        <v>0.12978864785988384</v>
      </c>
      <c r="Z52" s="32">
        <f t="shared" si="4"/>
        <v>-0.027000000000000135</v>
      </c>
    </row>
    <row r="53">
      <c r="A53" s="42" t="s">
        <v>139</v>
      </c>
      <c r="B53" s="98">
        <v>1</v>
      </c>
      <c r="C53" s="43">
        <v>9</v>
      </c>
      <c r="D53" s="30">
        <v>0.80925000000000014</v>
      </c>
      <c r="E53" s="30">
        <v>1.1932500000000001</v>
      </c>
      <c r="F53" s="30">
        <v>2.0347500000000003</v>
      </c>
      <c r="G53" s="30">
        <v>0.032250000000000008</v>
      </c>
      <c r="H53" s="30">
        <v>11.125292400341467</v>
      </c>
      <c r="I53" s="30">
        <v>18.615931150677117</v>
      </c>
      <c r="J53" s="30">
        <v>0.35250000000000004</v>
      </c>
      <c r="K53" s="30">
        <v>45.49760038962151</v>
      </c>
      <c r="L53" s="30">
        <f t="shared" si="0"/>
        <v>13.747658202460878</v>
      </c>
      <c r="M53" s="30">
        <v>-1.570944687196876</v>
      </c>
      <c r="N53" s="30">
        <v>0.16104511463458021</v>
      </c>
      <c r="O53" s="97">
        <v>0.85950000000000004</v>
      </c>
      <c r="P53" s="30">
        <v>0.99075000000000002</v>
      </c>
      <c r="Q53" s="30">
        <v>1.8667500000000001</v>
      </c>
      <c r="R53" s="30">
        <v>0.016500000000000001</v>
      </c>
      <c r="S53" s="30">
        <v>10.649818144067218</v>
      </c>
      <c r="T53" s="30">
        <v>17.509578210008922</v>
      </c>
      <c r="U53" s="30">
        <v>0.50800000000000012</v>
      </c>
      <c r="V53" s="30">
        <v>61.724111433615775</v>
      </c>
      <c r="W53" s="30">
        <f t="shared" si="3"/>
        <v>12.390713372969422</v>
      </c>
      <c r="X53" s="30">
        <v>-1.59353598514215</v>
      </c>
      <c r="Y53" s="30">
        <v>0.17714775781210296</v>
      </c>
      <c r="Z53" s="32">
        <f t="shared" si="4"/>
        <v>-0.050249999999999906</v>
      </c>
    </row>
    <row r="54">
      <c r="A54" s="42" t="s">
        <v>138</v>
      </c>
      <c r="B54" s="98">
        <v>2</v>
      </c>
      <c r="C54" s="101">
        <v>9</v>
      </c>
      <c r="D54" s="30">
        <v>0.70000000000000007</v>
      </c>
      <c r="E54" s="30">
        <v>1.1046666666666667</v>
      </c>
      <c r="F54" s="30">
        <v>1.9313333333333336</v>
      </c>
      <c r="G54" s="30">
        <v>0.12666666666666668</v>
      </c>
      <c r="H54" s="30">
        <v>10.524503492176654</v>
      </c>
      <c r="I54" s="30">
        <v>17.810629567795857</v>
      </c>
      <c r="J54" s="30">
        <v>0.34800000000000003</v>
      </c>
      <c r="K54" s="30">
        <v>50.587990305586544</v>
      </c>
      <c r="L54" s="30">
        <f t="shared" si="0"/>
        <v>15.03500498882379</v>
      </c>
      <c r="M54" s="30">
        <v>-1.5352308203477234</v>
      </c>
      <c r="N54" s="30">
        <v>0.15511673921049396</v>
      </c>
      <c r="O54" s="97">
        <v>0.69066666666666665</v>
      </c>
      <c r="P54" s="30">
        <v>0.7626666666666666</v>
      </c>
      <c r="Q54" s="30">
        <v>1.5693333333333332</v>
      </c>
      <c r="R54" s="30">
        <v>0.11600000000000001</v>
      </c>
      <c r="S54" s="30">
        <v>10.586131816295788</v>
      </c>
      <c r="T54" s="30">
        <v>17.92122099192985</v>
      </c>
      <c r="U54" s="30">
        <v>0.32000000000000006</v>
      </c>
      <c r="V54" s="30">
        <v>46.940565330134532</v>
      </c>
      <c r="W54" s="30">
        <f t="shared" si="3"/>
        <v>15.327410930930196</v>
      </c>
      <c r="X54" s="30">
        <v>-1.4831821807693713</v>
      </c>
      <c r="Y54" s="30">
        <v>0.15194389137999409</v>
      </c>
      <c r="Z54" s="32">
        <f t="shared" si="4"/>
        <v>0.0093333333333334156</v>
      </c>
    </row>
    <row r="55">
      <c r="A55" s="42" t="s">
        <v>138</v>
      </c>
      <c r="B55" s="99">
        <v>1</v>
      </c>
      <c r="C55" s="48">
        <v>9</v>
      </c>
      <c r="D55" s="30">
        <v>0.52920000000000011</v>
      </c>
      <c r="E55" s="30">
        <v>0.77880000000000016</v>
      </c>
      <c r="F55" s="30">
        <v>1.3764000000000003</v>
      </c>
      <c r="G55" s="30">
        <v>0.068400000000000002</v>
      </c>
      <c r="H55" s="30">
        <v>10.309539365925149</v>
      </c>
      <c r="I55" s="30">
        <v>17.776427012560831</v>
      </c>
      <c r="J55" s="30">
        <v>0.2898</v>
      </c>
      <c r="K55" s="30">
        <v>53.273418630043068</v>
      </c>
      <c r="L55" s="30">
        <f t="shared" si="0"/>
        <v>19.481366904620458</v>
      </c>
      <c r="M55" s="30">
        <v>-1.4403570158221319</v>
      </c>
      <c r="N55" s="30">
        <v>0.1242220268967343</v>
      </c>
      <c r="O55" s="97">
        <v>0.59914285714285731</v>
      </c>
      <c r="P55" s="30">
        <v>0.78171428571428581</v>
      </c>
      <c r="Q55" s="30">
        <v>1.3851428571428575</v>
      </c>
      <c r="R55" s="30">
        <v>0.0042857142857142859</v>
      </c>
      <c r="S55" s="30">
        <v>11.102516096885754</v>
      </c>
      <c r="T55" s="30">
        <v>18.028166005432869</v>
      </c>
      <c r="U55" s="30">
        <v>0.27257142857142858</v>
      </c>
      <c r="V55" s="30">
        <v>45.717013318412853</v>
      </c>
      <c r="W55" s="30">
        <f t="shared" si="3"/>
        <v>18.530665874630486</v>
      </c>
      <c r="X55" s="30">
        <v>-1.4887787992732415</v>
      </c>
      <c r="Y55" s="30">
        <v>0.24669011666179871</v>
      </c>
      <c r="Z55" s="32">
        <f t="shared" si="4"/>
        <v>-0.069942857142857195</v>
      </c>
    </row>
    <row r="56">
      <c r="A56" s="43" t="s">
        <v>139</v>
      </c>
      <c r="B56" s="98">
        <v>1</v>
      </c>
      <c r="C56" s="101">
        <v>9.0099999999999998</v>
      </c>
      <c r="D56" s="30">
        <v>1.0853333333333335</v>
      </c>
      <c r="E56" s="30">
        <v>1.7500000000000002</v>
      </c>
      <c r="F56" s="30">
        <v>2.8706666666666671</v>
      </c>
      <c r="G56" s="30">
        <v>0.035333333333333335</v>
      </c>
      <c r="H56" s="30">
        <v>10.861707934863606</v>
      </c>
      <c r="I56" s="30">
        <v>17.609509855934093</v>
      </c>
      <c r="J56" s="30">
        <v>0.50266666666666682</v>
      </c>
      <c r="K56" s="30">
        <v>46.217091055042282</v>
      </c>
      <c r="L56" s="30">
        <f t="shared" si="0"/>
        <v>10.007716156201109</v>
      </c>
      <c r="M56" s="30">
        <v>-1.5945642174356343</v>
      </c>
      <c r="N56" s="30">
        <v>0.16517105852731526</v>
      </c>
      <c r="O56" s="97">
        <v>0.99780000000000002</v>
      </c>
      <c r="P56" s="30">
        <v>1.1592000000000002</v>
      </c>
      <c r="Q56" s="30">
        <v>2.1756000000000002</v>
      </c>
      <c r="R56" s="30">
        <v>0.018599999999999998</v>
      </c>
      <c r="S56" s="30">
        <v>10.639039933537884</v>
      </c>
      <c r="T56" s="30">
        <v>17.047994890594872</v>
      </c>
      <c r="U56" s="30">
        <v>0.50700000000000001</v>
      </c>
      <c r="V56" s="30">
        <v>51.052020815133474</v>
      </c>
      <c r="W56" s="30">
        <f t="shared" si="3"/>
        <v>10.662497427879218</v>
      </c>
      <c r="X56" s="30">
        <v>-1.499816698249635</v>
      </c>
      <c r="Y56" s="30">
        <v>0.14733203933859371</v>
      </c>
      <c r="Z56" s="32">
        <f t="shared" si="4"/>
        <v>0.087533333333333463</v>
      </c>
    </row>
    <row r="57">
      <c r="A57" s="62" t="s">
        <v>138</v>
      </c>
      <c r="B57" s="104">
        <v>2</v>
      </c>
      <c r="C57" s="105">
        <v>9.0099999999999998</v>
      </c>
      <c r="D57" s="30">
        <v>0.78420000000000001</v>
      </c>
      <c r="E57" s="30">
        <v>1.0356000000000001</v>
      </c>
      <c r="F57" s="30">
        <v>1.8630000000000002</v>
      </c>
      <c r="G57" s="30">
        <v>0.043200000000000002</v>
      </c>
      <c r="H57" s="30">
        <v>10.582391729456386</v>
      </c>
      <c r="I57" s="30">
        <v>17.358600803603927</v>
      </c>
      <c r="J57" s="30">
        <v>0.44460000000000005</v>
      </c>
      <c r="K57" s="30">
        <v>56.845079141443286</v>
      </c>
      <c r="L57" s="30">
        <f t="shared" si="0"/>
        <v>13.494506158449868</v>
      </c>
      <c r="M57" s="30">
        <v>-1.4834669076700959</v>
      </c>
      <c r="N57" s="30">
        <v>0.1543491119406267</v>
      </c>
      <c r="O57" s="97">
        <v>0.82260000000000011</v>
      </c>
      <c r="P57" s="30">
        <v>0.7824000000000001</v>
      </c>
      <c r="Q57" s="30">
        <v>1.6602000000000003</v>
      </c>
      <c r="R57" s="30">
        <v>0.055200000000000013</v>
      </c>
      <c r="S57" s="30">
        <v>10.385952503181311</v>
      </c>
      <c r="T57" s="30">
        <v>16.980262176068294</v>
      </c>
      <c r="U57" s="30">
        <v>0.53459999999999996</v>
      </c>
      <c r="V57" s="30">
        <v>61.349967367377111</v>
      </c>
      <c r="W57" s="30">
        <f t="shared" si="3"/>
        <v>12.625762829055811</v>
      </c>
      <c r="X57" s="30">
        <v>-1.5271206840695468</v>
      </c>
      <c r="Y57" s="30">
        <v>0.14449393757618006</v>
      </c>
      <c r="Z57" s="32">
        <f t="shared" si="4"/>
        <v>-0.038400000000000101</v>
      </c>
    </row>
    <row r="58">
      <c r="A58" s="42" t="s">
        <v>138</v>
      </c>
      <c r="B58" s="98">
        <v>1</v>
      </c>
      <c r="C58" s="101">
        <v>9.0099999999999998</v>
      </c>
      <c r="D58" s="30">
        <v>0.76080000000000003</v>
      </c>
      <c r="E58" s="30">
        <v>1.0650000000000002</v>
      </c>
      <c r="F58" s="30">
        <v>1.8324000000000003</v>
      </c>
      <c r="G58" s="30">
        <v>0.0066</v>
      </c>
      <c r="H58" s="30">
        <v>10.334585812160011</v>
      </c>
      <c r="I58" s="30">
        <v>17.538589154492069</v>
      </c>
      <c r="J58" s="30">
        <v>0.44400000000000006</v>
      </c>
      <c r="K58" s="30">
        <v>56.602545044166163</v>
      </c>
      <c r="L58" s="30">
        <f t="shared" si="0"/>
        <v>13.583840447108321</v>
      </c>
      <c r="M58" s="30">
        <v>-1.4976624869058337</v>
      </c>
      <c r="N58" s="30">
        <v>0.1328446718221695</v>
      </c>
      <c r="O58" s="97">
        <v>0.71400000000000008</v>
      </c>
      <c r="P58" s="30">
        <v>0.8680000000000001</v>
      </c>
      <c r="Q58" s="30">
        <v>1.5866666666666669</v>
      </c>
      <c r="R58" s="30">
        <v>0.0046666666666666671</v>
      </c>
      <c r="S58" s="30">
        <v>10.372986955164677</v>
      </c>
      <c r="T58" s="30">
        <v>17.179624919848475</v>
      </c>
      <c r="U58" s="30">
        <v>0.37866666666666665</v>
      </c>
      <c r="V58" s="30">
        <v>52.5001680661181</v>
      </c>
      <c r="W58" s="30">
        <f t="shared" si="3"/>
        <v>14.527992934404308</v>
      </c>
      <c r="X58" s="30">
        <v>-1.5202409273783732</v>
      </c>
      <c r="Y58" s="30">
        <v>0.10210466489502805</v>
      </c>
      <c r="Z58" s="32">
        <f t="shared" si="4"/>
        <v>0.046799999999999953</v>
      </c>
    </row>
    <row r="59">
      <c r="A59" s="42" t="s">
        <v>139</v>
      </c>
      <c r="B59" s="98">
        <v>2</v>
      </c>
      <c r="C59" s="43">
        <v>9.0199999999999996</v>
      </c>
      <c r="D59" s="30">
        <v>0.65820000000000012</v>
      </c>
      <c r="E59" s="30">
        <v>1.0356000000000001</v>
      </c>
      <c r="F59" s="30">
        <v>1.7525999999999999</v>
      </c>
      <c r="G59" s="30">
        <v>0.058800000000000005</v>
      </c>
      <c r="H59" s="30">
        <v>10.534227765079269</v>
      </c>
      <c r="I59" s="30">
        <v>17.92933091513213</v>
      </c>
      <c r="J59" s="30">
        <v>0.32040000000000002</v>
      </c>
      <c r="K59" s="30">
        <v>48.977319418090914</v>
      </c>
      <c r="L59" s="30">
        <f t="shared" si="0"/>
        <v>16.004600068488706</v>
      </c>
      <c r="M59" s="30">
        <v>-1.4710166505131073</v>
      </c>
      <c r="N59" s="30">
        <v>0.12188549955193306</v>
      </c>
      <c r="O59" s="97">
        <v>0.63133333333333341</v>
      </c>
      <c r="P59" s="30">
        <v>0.78733333333333333</v>
      </c>
      <c r="Q59" s="30">
        <v>1.4186666666666667</v>
      </c>
      <c r="R59" s="30">
        <v>0</v>
      </c>
      <c r="S59" s="30">
        <v>10.213617096535806</v>
      </c>
      <c r="T59" s="30">
        <v>17.470033013952417</v>
      </c>
      <c r="U59" s="30">
        <v>0.28666666666666663</v>
      </c>
      <c r="V59" s="30">
        <v>45.598144702668115</v>
      </c>
      <c r="W59" s="30">
        <f t="shared" si="3"/>
        <v>16.177851789655445</v>
      </c>
      <c r="X59" s="30">
        <v>-1.4768925768429362</v>
      </c>
      <c r="Y59" s="30">
        <v>0.14963690470104971</v>
      </c>
      <c r="Z59" s="32">
        <f t="shared" si="4"/>
        <v>0.026866666666666705</v>
      </c>
    </row>
    <row r="60">
      <c r="A60" s="42" t="s">
        <v>138</v>
      </c>
      <c r="B60" s="98">
        <v>1</v>
      </c>
      <c r="C60" s="101">
        <v>9.0199999999999996</v>
      </c>
      <c r="D60" s="30">
        <v>0.54133333333333344</v>
      </c>
      <c r="E60" s="30">
        <v>0.6333333333333333</v>
      </c>
      <c r="F60" s="30">
        <v>1.1893333333333334</v>
      </c>
      <c r="G60" s="30">
        <v>0.014666666666666668</v>
      </c>
      <c r="H60" s="30">
        <v>10.916296191538452</v>
      </c>
      <c r="I60" s="30">
        <v>18.347175513815465</v>
      </c>
      <c r="J60" s="30">
        <v>0.27133333333333337</v>
      </c>
      <c r="K60" s="30">
        <v>50.47562923898824</v>
      </c>
      <c r="L60" s="30">
        <f t="shared" si="0"/>
        <v>20.165571782398615</v>
      </c>
      <c r="M60" s="30">
        <v>-1.5042606229858062</v>
      </c>
      <c r="N60" s="30">
        <v>0.15965237566035015</v>
      </c>
      <c r="O60" s="97">
        <v>0.46139999999999998</v>
      </c>
      <c r="P60" s="30">
        <v>0.49080000000000013</v>
      </c>
      <c r="Q60" s="30">
        <v>0.95579999999999998</v>
      </c>
      <c r="R60" s="30">
        <v>0.0036000000000000003</v>
      </c>
      <c r="S60" s="30">
        <v>10.756397563914321</v>
      </c>
      <c r="T60" s="30">
        <v>17.231071983977365</v>
      </c>
      <c r="U60" s="30">
        <v>0.21659999999999999</v>
      </c>
      <c r="V60" s="30">
        <v>45.683480157779726</v>
      </c>
      <c r="W60" s="30">
        <f t="shared" si="3"/>
        <v>23.312521811691205</v>
      </c>
      <c r="X60" s="30">
        <v>-1.474061806157642</v>
      </c>
      <c r="Y60" s="30">
        <v>0.16790429776902843</v>
      </c>
      <c r="Z60" s="32">
        <f t="shared" si="4"/>
        <v>0.079933333333333467</v>
      </c>
    </row>
    <row r="61">
      <c r="A61" s="42" t="s">
        <v>138</v>
      </c>
      <c r="B61" s="98">
        <v>1</v>
      </c>
      <c r="C61" s="101">
        <v>9.0299999999999994</v>
      </c>
      <c r="D61" s="30">
        <v>0.65100000000000002</v>
      </c>
      <c r="E61" s="30">
        <v>0.81825000000000003</v>
      </c>
      <c r="F61" s="30">
        <v>1.50675</v>
      </c>
      <c r="G61" s="30">
        <v>0.037500000000000006</v>
      </c>
      <c r="H61" s="30">
        <v>10.562876327269391</v>
      </c>
      <c r="I61" s="30">
        <v>17.837536358337417</v>
      </c>
      <c r="J61" s="30">
        <v>0.33599999999999997</v>
      </c>
      <c r="K61" s="30">
        <v>51.346241507343677</v>
      </c>
      <c r="L61" s="30">
        <f t="shared" si="0"/>
        <v>16.225616478140385</v>
      </c>
      <c r="M61" s="30">
        <v>-1.5542968550963248</v>
      </c>
      <c r="N61" s="30">
        <v>0.16695540198789294</v>
      </c>
      <c r="O61" s="97">
        <v>0.58979999999999999</v>
      </c>
      <c r="P61" s="30">
        <v>0.7158000000000001</v>
      </c>
      <c r="Q61" s="30">
        <v>1.4328000000000001</v>
      </c>
      <c r="R61" s="30">
        <v>0.12720000000000004</v>
      </c>
      <c r="S61" s="30">
        <v>10.46905043530278</v>
      </c>
      <c r="T61" s="30">
        <v>17.881821108754401</v>
      </c>
      <c r="U61" s="30">
        <v>0.30300000000000005</v>
      </c>
      <c r="V61" s="30">
        <v>51.415804558626931</v>
      </c>
      <c r="W61" s="30">
        <f t="shared" si="3"/>
        <v>17.750170287051169</v>
      </c>
      <c r="X61" s="30">
        <v>-1.501200691926363</v>
      </c>
      <c r="Y61" s="30">
        <v>0.15466337888511988</v>
      </c>
      <c r="Z61" s="32">
        <f t="shared" si="4"/>
        <v>0.061200000000000032</v>
      </c>
    </row>
    <row r="62">
      <c r="A62" s="43" t="s">
        <v>139</v>
      </c>
      <c r="B62" s="98">
        <v>1</v>
      </c>
      <c r="C62" s="101">
        <v>9.0399999999999991</v>
      </c>
      <c r="D62" s="30">
        <v>0.81075000000000008</v>
      </c>
      <c r="E62" s="30">
        <v>1.32375</v>
      </c>
      <c r="F62" s="30">
        <v>2.1600000000000001</v>
      </c>
      <c r="G62" s="30">
        <v>0.025500000000000002</v>
      </c>
      <c r="H62" s="30">
        <v>10.619043474243471</v>
      </c>
      <c r="I62" s="30">
        <v>17.830706025627901</v>
      </c>
      <c r="J62" s="30">
        <v>0.34425000000000006</v>
      </c>
      <c r="K62" s="30">
        <v>44.124110028405866</v>
      </c>
      <c r="L62" s="30">
        <f t="shared" si="0"/>
        <v>13.097802620096786</v>
      </c>
      <c r="M62" s="30">
        <v>-1.5930560049703224</v>
      </c>
      <c r="N62" s="30">
        <v>0.20362770172474387</v>
      </c>
      <c r="O62" s="97">
        <v>0.87524999999999997</v>
      </c>
      <c r="P62" s="30">
        <v>0.91950000000000021</v>
      </c>
      <c r="Q62" s="30">
        <v>1.8007499999999999</v>
      </c>
      <c r="R62" s="30">
        <v>0.0060000000000000001</v>
      </c>
      <c r="S62" s="30">
        <v>10.420906999859543</v>
      </c>
      <c r="T62" s="30">
        <v>16.395647530468388</v>
      </c>
      <c r="U62" s="30">
        <v>0.38024999999999998</v>
      </c>
      <c r="V62" s="30">
        <v>45.321281422588804</v>
      </c>
      <c r="W62" s="30">
        <f t="shared" si="3"/>
        <v>11.90620622663187</v>
      </c>
      <c r="X62" s="30">
        <v>-1.7204745876695269</v>
      </c>
      <c r="Y62" s="30">
        <v>0.28011490458993604</v>
      </c>
      <c r="Z62" s="32">
        <f t="shared" si="4"/>
        <v>-0.064499999999999891</v>
      </c>
    </row>
    <row r="63">
      <c r="A63" s="43" t="s">
        <v>139</v>
      </c>
      <c r="B63" s="98">
        <v>1</v>
      </c>
      <c r="C63" s="101">
        <v>9.0600000000000005</v>
      </c>
      <c r="D63" s="30">
        <v>1.6776</v>
      </c>
      <c r="E63" s="30">
        <v>1.9164000000000001</v>
      </c>
      <c r="F63" s="30">
        <v>3.6468000000000003</v>
      </c>
      <c r="G63" s="30">
        <v>0.0528</v>
      </c>
      <c r="H63" s="30">
        <v>10.190956670855689</v>
      </c>
      <c r="I63" s="30">
        <v>17.673447836070299</v>
      </c>
      <c r="J63" s="30">
        <v>0.59939999999999993</v>
      </c>
      <c r="K63" s="30">
        <v>36.882940357241274</v>
      </c>
      <c r="L63" s="30">
        <f t="shared" si="0"/>
        <v>6.0747238142916604</v>
      </c>
      <c r="M63" s="30">
        <v>-1.6994021399775581</v>
      </c>
      <c r="N63" s="30">
        <v>0.1384479588207464</v>
      </c>
      <c r="O63" s="97">
        <v>1.4355000000000002</v>
      </c>
      <c r="P63" s="30">
        <v>1.6065</v>
      </c>
      <c r="Q63" s="30">
        <v>3.0884999999999998</v>
      </c>
      <c r="R63" s="30">
        <v>0.0465</v>
      </c>
      <c r="S63" s="30">
        <v>10.208063168914673</v>
      </c>
      <c r="T63" s="30">
        <v>17.113532177855625</v>
      </c>
      <c r="U63" s="30">
        <v>0.57150000000000001</v>
      </c>
      <c r="V63" s="30">
        <v>41.424040655692977</v>
      </c>
      <c r="W63" s="30">
        <f t="shared" si="3"/>
        <v>7.1111551159280193</v>
      </c>
      <c r="X63" s="30">
        <v>-1.8005474369338854</v>
      </c>
      <c r="Y63" s="30">
        <v>0.16251443236850685</v>
      </c>
      <c r="Z63" s="32">
        <f t="shared" si="4"/>
        <v>0.24209999999999976</v>
      </c>
    </row>
    <row r="64">
      <c r="A64" s="42" t="s">
        <v>138</v>
      </c>
      <c r="B64" s="98">
        <v>1</v>
      </c>
      <c r="C64" s="101">
        <v>9.0600000000000005</v>
      </c>
      <c r="D64" s="30">
        <v>0.66900000000000004</v>
      </c>
      <c r="E64" s="30">
        <v>1.1535000000000002</v>
      </c>
      <c r="F64" s="30">
        <v>1.8270000000000002</v>
      </c>
      <c r="G64" s="30">
        <v>0.0045000000000000005</v>
      </c>
      <c r="H64" s="30">
        <v>11.054413092080521</v>
      </c>
      <c r="I64" s="30">
        <v>17.670378571942923</v>
      </c>
      <c r="J64" s="30">
        <v>0.30450000000000005</v>
      </c>
      <c r="K64" s="30">
        <v>44.387833188240229</v>
      </c>
      <c r="L64" s="30">
        <f t="shared" si="0"/>
        <v>16.523786385770585</v>
      </c>
      <c r="M64" s="30">
        <v>-1.4619274911724109</v>
      </c>
      <c r="N64" s="30">
        <v>0.093801485892912484</v>
      </c>
      <c r="O64" s="97">
        <v>0.94275000000000009</v>
      </c>
      <c r="P64" s="30">
        <v>0.91949999999999998</v>
      </c>
      <c r="Q64" s="30">
        <v>1.9560000000000002</v>
      </c>
      <c r="R64" s="30">
        <v>0.093750000000000014</v>
      </c>
      <c r="S64" s="30">
        <v>10.234444649122405</v>
      </c>
      <c r="T64" s="30">
        <v>17.37839637324042</v>
      </c>
      <c r="U64" s="30">
        <v>0.42899999999999999</v>
      </c>
      <c r="V64" s="30">
        <v>47.715061119329626</v>
      </c>
      <c r="W64" s="30">
        <f t="shared" si="3"/>
        <v>10.855947652211514</v>
      </c>
      <c r="X64" s="30">
        <v>-1.5286090189884645</v>
      </c>
      <c r="Y64" s="30">
        <v>0.13884876617668593</v>
      </c>
      <c r="Z64" s="32">
        <f t="shared" si="4"/>
        <v>-0.27375000000000005</v>
      </c>
    </row>
    <row r="65">
      <c r="A65" s="43" t="s">
        <v>139</v>
      </c>
      <c r="B65" s="98">
        <v>1</v>
      </c>
      <c r="C65" s="101">
        <v>9.0800000000000001</v>
      </c>
      <c r="D65" s="30">
        <v>0.82500000000000018</v>
      </c>
      <c r="E65" s="30">
        <v>1.1262000000000003</v>
      </c>
      <c r="F65" s="30">
        <v>2.0171999999999999</v>
      </c>
      <c r="G65" s="30">
        <v>0.066000000000000017</v>
      </c>
      <c r="H65" s="30">
        <v>10.473941524388005</v>
      </c>
      <c r="I65" s="30">
        <v>17.524687566663381</v>
      </c>
      <c r="J65" s="30">
        <v>0.44580000000000003</v>
      </c>
      <c r="K65" s="30">
        <v>53.677521303227437</v>
      </c>
      <c r="L65" s="30">
        <f t="shared" si="0"/>
        <v>12.695686696227883</v>
      </c>
      <c r="M65" s="30">
        <v>-1.4690238470546984</v>
      </c>
      <c r="N65" s="30">
        <v>0.088818665215658982</v>
      </c>
      <c r="O65" s="97">
        <v>0.88919999999999999</v>
      </c>
      <c r="P65" s="30">
        <v>0.92700000000000016</v>
      </c>
      <c r="Q65" s="30">
        <v>1.8288</v>
      </c>
      <c r="R65" s="30">
        <v>0.0126</v>
      </c>
      <c r="S65" s="30">
        <v>10.358815850314258</v>
      </c>
      <c r="T65" s="30">
        <v>17.397518484295563</v>
      </c>
      <c r="U65" s="30">
        <v>0.53879999999999995</v>
      </c>
      <c r="V65" s="30">
        <v>61.035471460241126</v>
      </c>
      <c r="W65" s="30">
        <f t="shared" si="3"/>
        <v>11.649590474937312</v>
      </c>
      <c r="X65" s="30">
        <v>-1.5060008251214634</v>
      </c>
      <c r="Y65" s="30">
        <v>0.10181308011421371</v>
      </c>
      <c r="Z65" s="32">
        <f t="shared" si="4"/>
        <v>-0.064199999999999813</v>
      </c>
    </row>
    <row r="66">
      <c r="A66" s="43" t="s">
        <v>139</v>
      </c>
      <c r="B66" s="98">
        <v>1</v>
      </c>
      <c r="C66" s="101">
        <v>9.0800000000000001</v>
      </c>
      <c r="D66" s="30">
        <v>0.78120000000000012</v>
      </c>
      <c r="E66" s="30">
        <v>1.0253999999999999</v>
      </c>
      <c r="F66" s="30">
        <v>1.8210000000000002</v>
      </c>
      <c r="G66" s="30">
        <v>0.014400000000000001</v>
      </c>
      <c r="H66" s="30">
        <v>10.655192864606743</v>
      </c>
      <c r="I66" s="30">
        <v>17.957336584231975</v>
      </c>
      <c r="J66" s="30">
        <v>0.43260000000000004</v>
      </c>
      <c r="K66" s="30">
        <v>54.319154211346088</v>
      </c>
      <c r="L66" s="30">
        <f t="shared" ref="L66:L95" si="5">H66/D66</f>
        <v>13.639519795963571</v>
      </c>
      <c r="M66" s="30">
        <v>-1.5324444772863712</v>
      </c>
      <c r="N66" s="30">
        <v>0.18149719691968089</v>
      </c>
      <c r="O66" s="97">
        <v>0.80533333333333346</v>
      </c>
      <c r="P66" s="30">
        <v>0.77066666666666661</v>
      </c>
      <c r="Q66" s="30">
        <v>1.5940000000000001</v>
      </c>
      <c r="R66" s="30">
        <v>0.018000000000000002</v>
      </c>
      <c r="S66" s="30">
        <v>10.457971490308354</v>
      </c>
      <c r="T66" s="30">
        <v>16.783288326350061</v>
      </c>
      <c r="U66" s="30">
        <v>0.3666666666666667</v>
      </c>
      <c r="V66" s="30">
        <v>44.392080775510983</v>
      </c>
      <c r="W66" s="30">
        <f t="shared" si="3"/>
        <v>12.985891751210703</v>
      </c>
      <c r="X66" s="30">
        <v>-1.5371618568614158</v>
      </c>
      <c r="Y66" s="30">
        <v>0.12203710005932529</v>
      </c>
      <c r="Z66" s="32">
        <f t="shared" si="4"/>
        <v>-0.02413333333333334</v>
      </c>
    </row>
    <row r="67" ht="15">
      <c r="A67" s="64" t="s">
        <v>139</v>
      </c>
      <c r="B67" s="106">
        <v>1</v>
      </c>
      <c r="C67" s="64">
        <v>9.0800000000000001</v>
      </c>
      <c r="D67" s="30">
        <v>0.89250000000000007</v>
      </c>
      <c r="E67" s="30">
        <v>1.4655</v>
      </c>
      <c r="F67" s="30">
        <v>2.60175</v>
      </c>
      <c r="G67" s="30">
        <v>0.24375000000000002</v>
      </c>
      <c r="H67" s="30">
        <v>10.475812679819029</v>
      </c>
      <c r="I67" s="30">
        <v>17.060834276842591</v>
      </c>
      <c r="J67" s="30">
        <v>0.5535000000000001</v>
      </c>
      <c r="K67" s="30">
        <v>59.3063802774262</v>
      </c>
      <c r="L67" s="30">
        <f t="shared" si="5"/>
        <v>11.737605243494709</v>
      </c>
      <c r="M67" s="30">
        <v>-1.6024113222195229</v>
      </c>
      <c r="N67" s="30">
        <v>0.2273073951704444</v>
      </c>
      <c r="O67" s="97">
        <v>0.90150000000000008</v>
      </c>
      <c r="P67" s="30">
        <v>0.76724999999999999</v>
      </c>
      <c r="Q67" s="30">
        <v>1.7325000000000002</v>
      </c>
      <c r="R67" s="30">
        <v>0.063750000000000001</v>
      </c>
      <c r="S67" s="30">
        <v>10.492265131904936</v>
      </c>
      <c r="T67" s="30">
        <v>16.528807336535888</v>
      </c>
      <c r="U67" s="30">
        <v>0.40050000000000008</v>
      </c>
      <c r="V67" s="30">
        <v>39.655644777148076</v>
      </c>
      <c r="W67" s="30">
        <f t="shared" si="3"/>
        <v>11.638674577820227</v>
      </c>
      <c r="X67" s="30">
        <v>-1.6782746481872584</v>
      </c>
      <c r="Y67" s="30">
        <v>0.28671287383674937</v>
      </c>
      <c r="Z67" s="32">
        <f t="shared" si="4"/>
        <v>-0.009000000000000008</v>
      </c>
    </row>
    <row r="68">
      <c r="A68" s="107" t="s">
        <v>138</v>
      </c>
      <c r="B68" s="108">
        <v>2</v>
      </c>
      <c r="C68" s="109">
        <v>10</v>
      </c>
      <c r="D68" s="75">
        <v>0.82500000000000018</v>
      </c>
      <c r="E68" s="75">
        <v>1.2564000000000002</v>
      </c>
      <c r="F68" s="75">
        <v>2.1030000000000006</v>
      </c>
      <c r="G68" s="75">
        <v>0.021600000000000001</v>
      </c>
      <c r="H68" s="75">
        <v>10.973400724649341</v>
      </c>
      <c r="I68" s="75">
        <v>17.95740002900407</v>
      </c>
      <c r="J68" s="75">
        <v>0.48600000000000004</v>
      </c>
      <c r="K68" s="75">
        <v>60.409016754111903</v>
      </c>
      <c r="L68" s="30">
        <f t="shared" si="5"/>
        <v>13.301091787453744</v>
      </c>
      <c r="M68" s="75">
        <v>-1.4988287110282501</v>
      </c>
      <c r="N68" s="75">
        <v>0.16147860524478358</v>
      </c>
      <c r="O68" s="110">
        <v>0.75266666666666682</v>
      </c>
      <c r="P68" s="75">
        <v>0.68000000000000005</v>
      </c>
      <c r="Q68" s="75">
        <v>1.484</v>
      </c>
      <c r="R68" s="75">
        <v>0.051333333333333335</v>
      </c>
      <c r="S68" s="75">
        <v>10.553126701733753</v>
      </c>
      <c r="T68" s="75">
        <v>17.840151436384716</v>
      </c>
      <c r="U68" s="75">
        <v>0.45200000000000007</v>
      </c>
      <c r="V68" s="75">
        <v>59.609275551972964</v>
      </c>
      <c r="W68" s="30">
        <f t="shared" si="3"/>
        <v>14.020983217538198</v>
      </c>
      <c r="X68" s="75">
        <v>-1.4818732302206752</v>
      </c>
      <c r="Y68" s="75">
        <v>0.21491614864517222</v>
      </c>
      <c r="Z68" s="32">
        <f t="shared" si="4"/>
        <v>0.072333333333333361</v>
      </c>
    </row>
    <row r="69">
      <c r="A69" s="52" t="s">
        <v>138</v>
      </c>
      <c r="B69" s="98">
        <v>2</v>
      </c>
      <c r="C69" s="61">
        <v>10</v>
      </c>
      <c r="D69" s="30">
        <v>0.81150000000000011</v>
      </c>
      <c r="E69" s="30">
        <v>1.0934999999999999</v>
      </c>
      <c r="F69" s="30">
        <v>2.3955000000000006</v>
      </c>
      <c r="G69" s="30">
        <v>0.49049999999999999</v>
      </c>
      <c r="H69" s="30">
        <v>10.270968388657746</v>
      </c>
      <c r="I69" s="30">
        <v>17.744475624482245</v>
      </c>
      <c r="J69" s="30">
        <v>0.38400000000000001</v>
      </c>
      <c r="K69" s="30">
        <v>46.083988500428724</v>
      </c>
      <c r="L69" s="30">
        <f t="shared" si="5"/>
        <v>12.656769425333019</v>
      </c>
      <c r="M69" s="30">
        <v>-1.52257161595329</v>
      </c>
      <c r="N69" s="30">
        <v>0.087637703940523615</v>
      </c>
      <c r="O69" s="97">
        <v>0.70800000000000007</v>
      </c>
      <c r="P69" s="30">
        <v>0.82499999999999996</v>
      </c>
      <c r="Q69" s="30">
        <v>1.8696000000000002</v>
      </c>
      <c r="R69" s="30">
        <v>0.33659999999999995</v>
      </c>
      <c r="S69" s="30">
        <v>10.26051549659973</v>
      </c>
      <c r="T69" s="30">
        <v>17.082032637152686</v>
      </c>
      <c r="U69" s="30">
        <v>0.34320000000000006</v>
      </c>
      <c r="V69" s="30">
        <v>48.771386818976431</v>
      </c>
      <c r="W69" s="30">
        <f t="shared" si="3"/>
        <v>14.492253526270805</v>
      </c>
      <c r="X69" s="30">
        <v>-1.4625814338403824</v>
      </c>
      <c r="Y69" s="30">
        <v>0.16017156189291465</v>
      </c>
      <c r="Z69" s="32">
        <f t="shared" si="4"/>
        <v>0.10350000000000004</v>
      </c>
    </row>
    <row r="70">
      <c r="A70" s="52" t="s">
        <v>138</v>
      </c>
      <c r="B70" s="98">
        <v>1</v>
      </c>
      <c r="C70" s="61">
        <v>10</v>
      </c>
      <c r="D70" s="30">
        <v>1.0580000000000001</v>
      </c>
      <c r="E70" s="30">
        <v>1.8109999999999999</v>
      </c>
      <c r="F70" s="30">
        <v>2.8689999999999998</v>
      </c>
      <c r="G70" s="30">
        <v>0</v>
      </c>
      <c r="H70" s="30">
        <v>10.714134628219263</v>
      </c>
      <c r="I70" s="30">
        <v>17.640232347465282</v>
      </c>
      <c r="J70" s="30">
        <v>0.53200000000000003</v>
      </c>
      <c r="K70" s="30">
        <v>50.392019891638647</v>
      </c>
      <c r="L70" s="30">
        <f t="shared" si="5"/>
        <v>10.126781312116504</v>
      </c>
      <c r="M70" s="30">
        <v>-1.6754560170321919</v>
      </c>
      <c r="N70" s="30">
        <v>0.21787781853386365</v>
      </c>
      <c r="O70" s="97">
        <v>0.95199999999999996</v>
      </c>
      <c r="P70" s="30">
        <v>1.0110000000000001</v>
      </c>
      <c r="Q70" s="30">
        <v>1.9629999999999999</v>
      </c>
      <c r="R70" s="30">
        <v>0</v>
      </c>
      <c r="S70" s="30">
        <v>10.389874974361637</v>
      </c>
      <c r="T70" s="30">
        <v>16.324718190166088</v>
      </c>
      <c r="U70" s="30">
        <v>0.52900000000000003</v>
      </c>
      <c r="V70" s="30">
        <v>54.294595066506666</v>
      </c>
      <c r="W70" s="30">
        <f t="shared" si="3"/>
        <v>10.913734216766427</v>
      </c>
      <c r="X70" s="30">
        <v>-1.570926114848455</v>
      </c>
      <c r="Y70" s="30">
        <v>0.14132309949719882</v>
      </c>
      <c r="Z70" s="32">
        <f t="shared" si="4"/>
        <v>0.10600000000000009</v>
      </c>
    </row>
    <row r="71">
      <c r="A71" s="52" t="s">
        <v>138</v>
      </c>
      <c r="B71" s="98">
        <v>1</v>
      </c>
      <c r="C71" s="61">
        <v>10</v>
      </c>
      <c r="D71" s="30">
        <v>1.0762500000000002</v>
      </c>
      <c r="E71" s="30">
        <v>1.9649999999999999</v>
      </c>
      <c r="F71" s="30">
        <v>3.1545000000000005</v>
      </c>
      <c r="G71" s="30">
        <v>0.11325000000000002</v>
      </c>
      <c r="H71" s="30">
        <v>10.50810120303697</v>
      </c>
      <c r="I71" s="30">
        <v>17.597067282026515</v>
      </c>
      <c r="J71" s="30">
        <v>0.58425000000000005</v>
      </c>
      <c r="K71" s="30">
        <v>54.187287310746662</v>
      </c>
      <c r="L71" s="30">
        <f t="shared" si="5"/>
        <v>9.7636248111841759</v>
      </c>
      <c r="M71" s="30">
        <v>-1.6006951877507483</v>
      </c>
      <c r="N71" s="30">
        <v>0.10707404963981168</v>
      </c>
      <c r="O71" s="97">
        <v>1.0812000000000002</v>
      </c>
      <c r="P71" s="30">
        <v>1.5246</v>
      </c>
      <c r="Q71" s="30">
        <v>2.6940000000000004</v>
      </c>
      <c r="R71" s="30">
        <v>0.088200000000000014</v>
      </c>
      <c r="S71" s="30">
        <v>10.550016802424292</v>
      </c>
      <c r="T71" s="30">
        <v>17.777362696714011</v>
      </c>
      <c r="U71" s="30">
        <v>0.53700000000000003</v>
      </c>
      <c r="V71" s="30">
        <v>49.755788338046194</v>
      </c>
      <c r="W71" s="30">
        <f t="shared" si="3"/>
        <v>9.7576921961008978</v>
      </c>
      <c r="X71" s="30">
        <v>-1.5781822620597326</v>
      </c>
      <c r="Y71" s="30">
        <v>0.087698676362675004</v>
      </c>
      <c r="Z71" s="32">
        <f t="shared" si="4"/>
        <v>-0.0049500000000000099</v>
      </c>
    </row>
    <row r="72">
      <c r="A72" s="52" t="s">
        <v>138</v>
      </c>
      <c r="B72" s="98">
        <v>1</v>
      </c>
      <c r="C72" s="61">
        <v>10</v>
      </c>
      <c r="D72" s="30">
        <v>0.65549999999999997</v>
      </c>
      <c r="E72" s="30">
        <v>1.1295000000000002</v>
      </c>
      <c r="F72" s="30">
        <v>1.8592499999999998</v>
      </c>
      <c r="G72" s="30">
        <v>0.07425000000000001</v>
      </c>
      <c r="H72" s="30">
        <v>10.450575140302909</v>
      </c>
      <c r="I72" s="30">
        <v>17.572085753160422</v>
      </c>
      <c r="J72" s="30">
        <v>0.33075000000000004</v>
      </c>
      <c r="K72" s="30">
        <v>48.483975128683383</v>
      </c>
      <c r="L72" s="30">
        <f t="shared" si="5"/>
        <v>15.942906392529229</v>
      </c>
      <c r="M72" s="30">
        <v>-1.5006630673907053</v>
      </c>
      <c r="N72" s="30">
        <v>0.12427604961963509</v>
      </c>
      <c r="O72" s="97">
        <v>0.57771428571428574</v>
      </c>
      <c r="P72" s="30">
        <v>0.8382857142857143</v>
      </c>
      <c r="Q72" s="30">
        <v>1.4297142857142855</v>
      </c>
      <c r="R72" s="30">
        <v>0.013714285714285715</v>
      </c>
      <c r="S72" s="30">
        <v>10.489677434548099</v>
      </c>
      <c r="T72" s="30">
        <v>17.33949118225113</v>
      </c>
      <c r="U72" s="30">
        <v>0.28200000000000003</v>
      </c>
      <c r="V72" s="30">
        <v>49.181759983802316</v>
      </c>
      <c r="W72" s="30">
        <f t="shared" si="3"/>
        <v>18.157206241799379</v>
      </c>
      <c r="X72" s="30">
        <v>-1.4998924505558466</v>
      </c>
      <c r="Y72" s="30">
        <v>0.11620812330969356</v>
      </c>
      <c r="Z72" s="32">
        <f t="shared" si="4"/>
        <v>0.077785714285714236</v>
      </c>
    </row>
    <row r="73">
      <c r="A73" s="43" t="s">
        <v>139</v>
      </c>
      <c r="B73" s="98">
        <v>1</v>
      </c>
      <c r="C73" s="61">
        <v>10</v>
      </c>
      <c r="D73" s="30">
        <v>0.8957142857142858</v>
      </c>
      <c r="E73" s="30">
        <v>1.2702857142857145</v>
      </c>
      <c r="F73" s="30">
        <v>2.1659999999999999</v>
      </c>
      <c r="G73" s="30">
        <v>0</v>
      </c>
      <c r="H73" s="30">
        <v>10.720696475271115</v>
      </c>
      <c r="I73" s="30">
        <v>17.807404086202233</v>
      </c>
      <c r="J73" s="30">
        <v>0.39685714285714285</v>
      </c>
      <c r="K73" s="30">
        <v>46.753917436220306</v>
      </c>
      <c r="L73" s="30">
        <f t="shared" si="5"/>
        <v>11.968879637463763</v>
      </c>
      <c r="M73" s="30">
        <v>-1.5565327630124721</v>
      </c>
      <c r="N73" s="30">
        <v>0.12353660380271433</v>
      </c>
      <c r="O73" s="97">
        <v>0.73971428571428566</v>
      </c>
      <c r="P73" s="30">
        <v>0.93514285714285716</v>
      </c>
      <c r="Q73" s="30">
        <v>1.6748571428571428</v>
      </c>
      <c r="R73" s="30">
        <v>0</v>
      </c>
      <c r="S73" s="30">
        <v>10.590034082279477</v>
      </c>
      <c r="T73" s="30">
        <v>16.914820488392937</v>
      </c>
      <c r="U73" s="30">
        <v>0.45514285714285713</v>
      </c>
      <c r="V73" s="30">
        <v>59.714720421459106</v>
      </c>
      <c r="W73" s="30">
        <f t="shared" si="3"/>
        <v>14.316384429501031</v>
      </c>
      <c r="X73" s="30">
        <v>-1.5694133500813181</v>
      </c>
      <c r="Y73" s="30">
        <v>0.11976749069279928</v>
      </c>
      <c r="Z73" s="32">
        <f t="shared" si="4"/>
        <v>0.15600000000000014</v>
      </c>
    </row>
    <row r="74">
      <c r="A74" s="42" t="s">
        <v>139</v>
      </c>
      <c r="B74" s="98">
        <v>2</v>
      </c>
      <c r="C74" s="43">
        <v>10</v>
      </c>
      <c r="D74" s="30">
        <v>0.9396000000000001</v>
      </c>
      <c r="E74" s="30">
        <v>1.1603999999999999</v>
      </c>
      <c r="F74" s="30">
        <v>2.1024000000000003</v>
      </c>
      <c r="G74" s="30">
        <v>0.0024000000000000002</v>
      </c>
      <c r="H74" s="30">
        <v>10.338781241408626</v>
      </c>
      <c r="I74" s="30">
        <v>17.521322713158611</v>
      </c>
      <c r="J74" s="30">
        <v>0.57240000000000002</v>
      </c>
      <c r="K74" s="30">
        <v>58.875823785622252</v>
      </c>
      <c r="L74" s="30">
        <f t="shared" si="5"/>
        <v>11.00338574011135</v>
      </c>
      <c r="M74" s="30">
        <v>-1.5907981202495736</v>
      </c>
      <c r="N74" s="30">
        <v>0.1747370452483433</v>
      </c>
      <c r="O74" s="97">
        <v>0.81540000000000012</v>
      </c>
      <c r="P74" s="30">
        <v>0.82620000000000005</v>
      </c>
      <c r="Q74" s="30">
        <v>1.6512</v>
      </c>
      <c r="R74" s="30">
        <v>0.0096000000000000009</v>
      </c>
      <c r="S74" s="30">
        <v>10.341536379500827</v>
      </c>
      <c r="T74" s="30">
        <v>16.140555582760229</v>
      </c>
      <c r="U74" s="30">
        <v>0.42780000000000007</v>
      </c>
      <c r="V74" s="30">
        <v>54.724342119390791</v>
      </c>
      <c r="W74" s="30">
        <f t="shared" si="3"/>
        <v>12.682777016802582</v>
      </c>
      <c r="X74" s="30">
        <v>-1.5405773296698215</v>
      </c>
      <c r="Y74" s="30">
        <v>0.15370623172449763</v>
      </c>
      <c r="Z74" s="32">
        <f t="shared" si="4"/>
        <v>0.12419999999999998</v>
      </c>
    </row>
    <row r="75">
      <c r="A75" s="42" t="s">
        <v>138</v>
      </c>
      <c r="B75" s="100">
        <v>2</v>
      </c>
      <c r="C75" s="48">
        <v>10.02</v>
      </c>
      <c r="D75" s="30">
        <v>0.70140000000000013</v>
      </c>
      <c r="E75" s="30">
        <v>0.93420000000000003</v>
      </c>
      <c r="F75" s="30">
        <v>1.6938000000000002</v>
      </c>
      <c r="G75" s="30">
        <v>0.058200000000000009</v>
      </c>
      <c r="H75" s="30">
        <v>10.574654773298361</v>
      </c>
      <c r="I75" s="30">
        <v>17.554551297991523</v>
      </c>
      <c r="J75" s="30">
        <v>0.36960000000000004</v>
      </c>
      <c r="K75" s="30">
        <v>52.746054117639723</v>
      </c>
      <c r="L75" s="30">
        <f t="shared" si="5"/>
        <v>15.076496682774962</v>
      </c>
      <c r="M75" s="30">
        <v>-1.4800255411000258</v>
      </c>
      <c r="N75" s="30">
        <v>0.15299472376549958</v>
      </c>
      <c r="O75" s="97">
        <v>0.64440000000000008</v>
      </c>
      <c r="P75" s="30">
        <v>0.79859999999999998</v>
      </c>
      <c r="Q75" s="30">
        <v>1.5186000000000002</v>
      </c>
      <c r="R75" s="30">
        <v>0.075600000000000028</v>
      </c>
      <c r="S75" s="30">
        <v>10.755526987920419</v>
      </c>
      <c r="T75" s="30">
        <v>17.905100724521919</v>
      </c>
      <c r="U75" s="30">
        <v>0.32100000000000001</v>
      </c>
      <c r="V75" s="30">
        <v>49.695165039718376</v>
      </c>
      <c r="W75" s="30">
        <f t="shared" si="3"/>
        <v>16.690761930354466</v>
      </c>
      <c r="X75" s="30">
        <v>-1.4386773167489015</v>
      </c>
      <c r="Y75" s="30">
        <v>0.12438152514177933</v>
      </c>
      <c r="Z75" s="32">
        <f t="shared" si="4"/>
        <v>0.057000000000000051</v>
      </c>
    </row>
    <row r="76">
      <c r="A76" s="42" t="s">
        <v>139</v>
      </c>
      <c r="B76" s="98">
        <v>2</v>
      </c>
      <c r="C76" s="43">
        <v>10.029999999999999</v>
      </c>
      <c r="D76" s="30">
        <v>0.84899999999999998</v>
      </c>
      <c r="E76" s="30">
        <v>0.8992500000000001</v>
      </c>
      <c r="F76" s="30">
        <v>1.9912500000000002</v>
      </c>
      <c r="G76" s="30">
        <v>0.24300000000000002</v>
      </c>
      <c r="H76" s="30">
        <v>10.30414065465613</v>
      </c>
      <c r="I76" s="30">
        <v>17.798839867380831</v>
      </c>
      <c r="J76" s="30">
        <v>0.37724999999999997</v>
      </c>
      <c r="K76" s="30">
        <v>47.037949155970779</v>
      </c>
      <c r="L76" s="30">
        <f t="shared" si="5"/>
        <v>12.136797001950685</v>
      </c>
      <c r="M76" s="30">
        <v>-1.5598298752770146</v>
      </c>
      <c r="N76" s="30">
        <v>0.1098107300588351</v>
      </c>
      <c r="O76" s="97">
        <v>0.67200000000000004</v>
      </c>
      <c r="P76" s="30">
        <v>0.63300000000000001</v>
      </c>
      <c r="Q76" s="30">
        <v>1.3812</v>
      </c>
      <c r="R76" s="30">
        <v>0.076200000000000018</v>
      </c>
      <c r="S76" s="30">
        <v>10.558036493343277</v>
      </c>
      <c r="T76" s="30">
        <v>16.795515142482351</v>
      </c>
      <c r="U76" s="30">
        <v>0.36300000000000004</v>
      </c>
      <c r="V76" s="30">
        <v>53.786173562595515</v>
      </c>
      <c r="W76" s="30">
        <f t="shared" si="3"/>
        <v>15.711363829379875</v>
      </c>
      <c r="X76" s="30">
        <v>-1.4727172628081606</v>
      </c>
      <c r="Y76" s="30">
        <v>0.16051045020900151</v>
      </c>
      <c r="Z76" s="32">
        <f t="shared" si="4"/>
        <v>0.17699999999999994</v>
      </c>
    </row>
    <row r="77">
      <c r="A77" s="42" t="s">
        <v>138</v>
      </c>
      <c r="B77" s="103">
        <v>1</v>
      </c>
      <c r="C77" s="95">
        <v>10.039999999999999</v>
      </c>
      <c r="D77" s="30">
        <v>0.65142857142857147</v>
      </c>
      <c r="E77" s="30">
        <v>0.74914285714285733</v>
      </c>
      <c r="F77" s="30">
        <v>1.4991428571428571</v>
      </c>
      <c r="G77" s="30">
        <v>0.098571428571428574</v>
      </c>
      <c r="H77" s="30">
        <v>10.64301320438638</v>
      </c>
      <c r="I77" s="30">
        <v>17.740559945962762</v>
      </c>
      <c r="J77" s="30">
        <v>0.36514285714285721</v>
      </c>
      <c r="K77" s="30">
        <v>55.476819709635166</v>
      </c>
      <c r="L77" s="30">
        <f t="shared" si="5"/>
        <v>16.3379588663826</v>
      </c>
      <c r="M77" s="30">
        <v>-1.4749026411991273</v>
      </c>
      <c r="N77" s="30">
        <v>0.25284276960553059</v>
      </c>
      <c r="O77" s="97">
        <v>0.60533333333333339</v>
      </c>
      <c r="P77" s="30">
        <v>0.58666666666666667</v>
      </c>
      <c r="Q77" s="30">
        <v>1.2539999999999998</v>
      </c>
      <c r="R77" s="30">
        <v>0.062000000000000006</v>
      </c>
      <c r="S77" s="30">
        <v>10.626197560525002</v>
      </c>
      <c r="T77" s="30">
        <v>17.941437865744291</v>
      </c>
      <c r="U77" s="30">
        <v>0.32066666666666671</v>
      </c>
      <c r="V77" s="30">
        <v>53.150835645205476</v>
      </c>
      <c r="W77" s="30">
        <f t="shared" si="3"/>
        <v>17.554291124215311</v>
      </c>
      <c r="X77" s="30">
        <v>-1.4737524438131335</v>
      </c>
      <c r="Y77" s="30">
        <v>0.18881192939143276</v>
      </c>
      <c r="Z77" s="32">
        <f t="shared" si="4"/>
        <v>0.046095238095238078</v>
      </c>
    </row>
    <row r="78">
      <c r="A78" s="42" t="s">
        <v>138</v>
      </c>
      <c r="B78" s="100">
        <v>2</v>
      </c>
      <c r="C78" s="48">
        <v>10.039999999999999</v>
      </c>
      <c r="D78" s="30">
        <v>0.58979999999999999</v>
      </c>
      <c r="E78" s="30">
        <v>0.83220000000000005</v>
      </c>
      <c r="F78" s="30">
        <v>1.4592000000000003</v>
      </c>
      <c r="G78" s="30">
        <v>0.037199999999999997</v>
      </c>
      <c r="H78" s="30">
        <v>10.851243351714569</v>
      </c>
      <c r="I78" s="30">
        <v>17.858428494794854</v>
      </c>
      <c r="J78" s="30">
        <v>0.28259999999999996</v>
      </c>
      <c r="K78" s="30">
        <v>48.127973823975914</v>
      </c>
      <c r="L78" s="30">
        <f t="shared" si="5"/>
        <v>18.398174553602185</v>
      </c>
      <c r="M78" s="30">
        <v>-1.4594964328283404</v>
      </c>
      <c r="N78" s="30">
        <v>0.16129940543241492</v>
      </c>
      <c r="O78" s="97">
        <v>0.51866666666666672</v>
      </c>
      <c r="P78" s="30">
        <v>0.6133333333333334</v>
      </c>
      <c r="Q78" s="30">
        <v>1.1673333333333336</v>
      </c>
      <c r="R78" s="30">
        <v>0.035333333333333335</v>
      </c>
      <c r="S78" s="30">
        <v>10.734680141875616</v>
      </c>
      <c r="T78" s="30">
        <v>18.212961584109834</v>
      </c>
      <c r="U78" s="30">
        <v>0.25533333333333336</v>
      </c>
      <c r="V78" s="30">
        <v>47.956397603277658</v>
      </c>
      <c r="W78" s="30">
        <f t="shared" si="3"/>
        <v>20.696684078166353</v>
      </c>
      <c r="X78" s="30">
        <v>-1.4280949058267813</v>
      </c>
      <c r="Y78" s="30">
        <v>0.14967791864453528</v>
      </c>
      <c r="Z78" s="32">
        <f t="shared" si="4"/>
        <v>0.071133333333333271</v>
      </c>
    </row>
    <row r="79">
      <c r="A79" s="43" t="s">
        <v>139</v>
      </c>
      <c r="B79" s="98">
        <v>1</v>
      </c>
      <c r="C79" s="101">
        <v>10.06</v>
      </c>
      <c r="D79" s="30">
        <v>0.90240000000000009</v>
      </c>
      <c r="E79" s="30">
        <v>1.2156</v>
      </c>
      <c r="F79" s="30">
        <v>2.133</v>
      </c>
      <c r="G79" s="30">
        <v>0.015000000000000003</v>
      </c>
      <c r="H79" s="30">
        <v>10.472906175683047</v>
      </c>
      <c r="I79" s="30">
        <v>17.591912023992755</v>
      </c>
      <c r="J79" s="30">
        <v>0.39900000000000008</v>
      </c>
      <c r="K79" s="30">
        <v>45.873937589890886</v>
      </c>
      <c r="L79" s="30">
        <f t="shared" si="5"/>
        <v>11.605614113123943</v>
      </c>
      <c r="M79" s="30">
        <v>-1.5224925897068129</v>
      </c>
      <c r="N79" s="30">
        <v>0.17825797265696786</v>
      </c>
      <c r="O79" s="97">
        <v>0.74939999999999996</v>
      </c>
      <c r="P79" s="30">
        <v>0.62879999999999991</v>
      </c>
      <c r="Q79" s="30">
        <v>1.4735999999999998</v>
      </c>
      <c r="R79" s="30">
        <v>0.095400000000000013</v>
      </c>
      <c r="S79" s="30">
        <v>10.695109564303667</v>
      </c>
      <c r="T79" s="30">
        <v>16.83926630230463</v>
      </c>
      <c r="U79" s="30">
        <v>0.38459999999999994</v>
      </c>
      <c r="V79" s="30">
        <v>51.199385232473382</v>
      </c>
      <c r="W79" s="30">
        <f t="shared" si="3"/>
        <v>14.27156333640735</v>
      </c>
      <c r="X79" s="30">
        <v>-1.4826350992043946</v>
      </c>
      <c r="Y79" s="30">
        <v>0.19835848527901659</v>
      </c>
      <c r="Z79" s="32">
        <f t="shared" si="4"/>
        <v>0.15300000000000014</v>
      </c>
    </row>
    <row r="80">
      <c r="A80" s="43" t="s">
        <v>139</v>
      </c>
      <c r="B80" s="98">
        <v>1</v>
      </c>
      <c r="C80" s="101">
        <v>10.06</v>
      </c>
      <c r="D80" s="30">
        <v>0.54400000000000004</v>
      </c>
      <c r="E80" s="30">
        <v>0.84533333333333327</v>
      </c>
      <c r="F80" s="30">
        <v>1.4660000000000002</v>
      </c>
      <c r="G80" s="30">
        <v>0.076666666666666689</v>
      </c>
      <c r="H80" s="30">
        <v>10.665632610616116</v>
      </c>
      <c r="I80" s="30">
        <v>17.607835396920947</v>
      </c>
      <c r="J80" s="30">
        <v>0.28066666666666668</v>
      </c>
      <c r="K80" s="30">
        <v>50.775670613076393</v>
      </c>
      <c r="L80" s="30">
        <f t="shared" si="5"/>
        <v>19.605942298926681</v>
      </c>
      <c r="M80" s="30">
        <v>-1.42216786566458</v>
      </c>
      <c r="N80" s="30">
        <v>0.15401013342185849</v>
      </c>
      <c r="O80" s="97">
        <v>0.57240000000000002</v>
      </c>
      <c r="P80" s="30">
        <v>0.62880000000000014</v>
      </c>
      <c r="Q80" s="30">
        <v>1.2828000000000002</v>
      </c>
      <c r="R80" s="30">
        <v>0.081600000000000006</v>
      </c>
      <c r="S80" s="30">
        <v>10.648635036458547</v>
      </c>
      <c r="T80" s="30">
        <v>17.50209245845425</v>
      </c>
      <c r="U80" s="30">
        <v>0.30660000000000004</v>
      </c>
      <c r="V80" s="30">
        <v>53.054275012407132</v>
      </c>
      <c r="W80" s="30">
        <f t="shared" si="3"/>
        <v>18.603485388641765</v>
      </c>
      <c r="X80" s="30">
        <v>-1.4516706366951422</v>
      </c>
      <c r="Y80" s="30">
        <v>0.14470694055841729</v>
      </c>
      <c r="Z80" s="32">
        <f t="shared" si="4"/>
        <v>-0.028399999999999981</v>
      </c>
    </row>
    <row r="81">
      <c r="A81" s="43" t="s">
        <v>139</v>
      </c>
      <c r="B81" s="98">
        <v>1</v>
      </c>
      <c r="C81" s="101">
        <v>10.06</v>
      </c>
      <c r="D81" s="30">
        <v>1.5428571428571429</v>
      </c>
      <c r="E81" s="30">
        <v>1.9448571428571431</v>
      </c>
      <c r="F81" s="30">
        <v>3.5785714285714287</v>
      </c>
      <c r="G81" s="30">
        <v>0.090857142857142859</v>
      </c>
      <c r="H81" s="30">
        <v>10.119786212285698</v>
      </c>
      <c r="I81" s="30">
        <v>17.943198041016565</v>
      </c>
      <c r="J81" s="30">
        <v>0.73457142857142865</v>
      </c>
      <c r="K81" s="30">
        <v>48.856899896076065</v>
      </c>
      <c r="L81" s="30">
        <f t="shared" si="5"/>
        <v>6.5591206931481372</v>
      </c>
      <c r="M81" s="30">
        <v>-1.7089297597635962</v>
      </c>
      <c r="N81" s="30">
        <v>0.16630341997238934</v>
      </c>
      <c r="O81" s="97">
        <v>1.4186666666666665</v>
      </c>
      <c r="P81" s="30">
        <v>1.3473333333333335</v>
      </c>
      <c r="Q81" s="30">
        <v>2.8300000000000001</v>
      </c>
      <c r="R81" s="30">
        <v>0.064000000000000001</v>
      </c>
      <c r="S81" s="30">
        <v>10.10917392335242</v>
      </c>
      <c r="T81" s="30">
        <v>16.028515204475561</v>
      </c>
      <c r="U81" s="30">
        <v>0.67200000000000015</v>
      </c>
      <c r="V81" s="30">
        <v>47.55951183738302</v>
      </c>
      <c r="W81" s="30">
        <f t="shared" si="3"/>
        <v>7.1258274835660869</v>
      </c>
      <c r="X81" s="30">
        <v>-1.6606240870736737</v>
      </c>
      <c r="Y81" s="30">
        <v>0.20102766805386418</v>
      </c>
      <c r="Z81" s="32">
        <f t="shared" si="4"/>
        <v>0.12419047619047641</v>
      </c>
    </row>
    <row r="82">
      <c r="A82" s="42" t="s">
        <v>139</v>
      </c>
      <c r="B82" s="98">
        <v>1</v>
      </c>
      <c r="C82" s="43">
        <v>10.07</v>
      </c>
      <c r="D82" s="30">
        <v>0.85079999999999989</v>
      </c>
      <c r="E82" s="30">
        <v>1.2588000000000001</v>
      </c>
      <c r="F82" s="30">
        <v>2.1707999999999998</v>
      </c>
      <c r="G82" s="30">
        <v>0.061200000000000011</v>
      </c>
      <c r="H82" s="30">
        <v>10.48170037086582</v>
      </c>
      <c r="I82" s="30">
        <v>17.962274559181285</v>
      </c>
      <c r="J82" s="30">
        <v>0.49740000000000001</v>
      </c>
      <c r="K82" s="30">
        <v>56.928551701643528</v>
      </c>
      <c r="L82" s="30">
        <f t="shared" si="5"/>
        <v>12.319817079061849</v>
      </c>
      <c r="M82" s="30">
        <v>-1.5813984650897002</v>
      </c>
      <c r="N82" s="30">
        <v>0.11908683953737979</v>
      </c>
      <c r="O82" s="97">
        <v>0.91560000000000008</v>
      </c>
      <c r="P82" s="30">
        <v>0.86219999999999997</v>
      </c>
      <c r="Q82" s="30">
        <v>1.8210000000000002</v>
      </c>
      <c r="R82" s="30">
        <v>0.043200000000000002</v>
      </c>
      <c r="S82" s="30">
        <v>10.638727600707536</v>
      </c>
      <c r="T82" s="30">
        <v>16.424800409637985</v>
      </c>
      <c r="U82" s="30">
        <v>0.54480000000000006</v>
      </c>
      <c r="V82" s="30">
        <v>60.53960764493452</v>
      </c>
      <c r="W82" s="30">
        <f t="shared" si="3"/>
        <v>11.619405417985513</v>
      </c>
      <c r="X82" s="30">
        <v>-1.578003901905038</v>
      </c>
      <c r="Y82" s="30">
        <v>0.19336576432862812</v>
      </c>
      <c r="Z82" s="32">
        <f t="shared" si="4"/>
        <v>-0.064800000000000191</v>
      </c>
    </row>
    <row r="83">
      <c r="A83" s="42" t="s">
        <v>138</v>
      </c>
      <c r="B83" s="98">
        <v>2</v>
      </c>
      <c r="C83" s="101">
        <v>10.08</v>
      </c>
      <c r="D83" s="30">
        <v>0.80914285714285705</v>
      </c>
      <c r="E83" s="30">
        <v>0.91200000000000003</v>
      </c>
      <c r="F83" s="30">
        <v>1.7211428571428571</v>
      </c>
      <c r="G83" s="30">
        <v>0</v>
      </c>
      <c r="H83" s="30">
        <v>10.426659220088325</v>
      </c>
      <c r="I83" s="30">
        <v>17.858679700743902</v>
      </c>
      <c r="J83" s="30">
        <v>0.40971428571428575</v>
      </c>
      <c r="K83" s="30">
        <v>50.363192719489064</v>
      </c>
      <c r="L83" s="30">
        <f t="shared" si="5"/>
        <v>12.886054827086562</v>
      </c>
      <c r="M83" s="30">
        <v>-1.4905388177777907</v>
      </c>
      <c r="N83" s="30">
        <v>0.080683714121673494</v>
      </c>
      <c r="O83" s="97">
        <v>0.72975000000000012</v>
      </c>
      <c r="P83" s="30">
        <v>0.72525000000000006</v>
      </c>
      <c r="Q83" s="30">
        <v>1.4692500000000002</v>
      </c>
      <c r="R83" s="30">
        <v>0.014250000000000001</v>
      </c>
      <c r="S83" s="30">
        <v>10.359290877890784</v>
      </c>
      <c r="T83" s="30">
        <v>17.402433235031765</v>
      </c>
      <c r="U83" s="30">
        <v>0.38175000000000003</v>
      </c>
      <c r="V83" s="30">
        <v>52.367357198892719</v>
      </c>
      <c r="W83" s="30">
        <f t="shared" si="3"/>
        <v>14.195670952916453</v>
      </c>
      <c r="X83" s="30">
        <v>-1.5160347912541814</v>
      </c>
      <c r="Y83" s="30">
        <v>0.14497331924402251</v>
      </c>
      <c r="Z83" s="32">
        <f t="shared" si="4"/>
        <v>0.079392857142856932</v>
      </c>
    </row>
    <row r="84">
      <c r="A84" s="42" t="s">
        <v>138</v>
      </c>
      <c r="B84" s="100">
        <v>2</v>
      </c>
      <c r="C84" s="48">
        <v>10.09</v>
      </c>
      <c r="D84" s="30">
        <v>0.41899999999999998</v>
      </c>
      <c r="E84" s="30">
        <v>0.59400000000000008</v>
      </c>
      <c r="F84" s="30">
        <v>1.0189999999999999</v>
      </c>
      <c r="G84" s="30">
        <v>0.006000000000000001</v>
      </c>
      <c r="H84" s="30">
        <v>11.043423124651868</v>
      </c>
      <c r="I84" s="30">
        <v>17.84769326903556</v>
      </c>
      <c r="J84" s="30">
        <v>0.18699999999999997</v>
      </c>
      <c r="K84" s="30">
        <v>44.84947107992528</v>
      </c>
      <c r="L84" s="30">
        <f t="shared" si="5"/>
        <v>26.356618435923313</v>
      </c>
      <c r="M84" s="30">
        <v>-1.4314610934922589</v>
      </c>
      <c r="N84" s="30">
        <v>0.15647053227261776</v>
      </c>
      <c r="O84" s="97">
        <v>0.42960000000000004</v>
      </c>
      <c r="P84" s="30">
        <v>0.51839999999999997</v>
      </c>
      <c r="Q84" s="30">
        <v>0.95460000000000012</v>
      </c>
      <c r="R84" s="30">
        <v>0.0066</v>
      </c>
      <c r="S84" s="30">
        <v>10.944056986715154</v>
      </c>
      <c r="T84" s="30">
        <v>17.961606732009653</v>
      </c>
      <c r="U84" s="30">
        <v>0.20279999999999995</v>
      </c>
      <c r="V84" s="30">
        <v>47.033756682214928</v>
      </c>
      <c r="W84" s="30">
        <f t="shared" si="3"/>
        <v>25.474992985836018</v>
      </c>
      <c r="X84" s="30">
        <v>-1.4596801698239759</v>
      </c>
      <c r="Y84" s="30">
        <v>0.11310255999798775</v>
      </c>
      <c r="Z84" s="32">
        <f t="shared" si="4"/>
        <v>-0.010600000000000054</v>
      </c>
    </row>
    <row r="85">
      <c r="A85" s="42" t="s">
        <v>139</v>
      </c>
      <c r="B85" s="98">
        <v>2</v>
      </c>
      <c r="C85" s="43">
        <v>10.1</v>
      </c>
      <c r="D85" s="30">
        <v>0.53400000000000003</v>
      </c>
      <c r="E85" s="30">
        <v>0.64600000000000002</v>
      </c>
      <c r="F85" s="30">
        <v>1.2190000000000001</v>
      </c>
      <c r="G85" s="30">
        <v>0.039</v>
      </c>
      <c r="H85" s="30">
        <v>10.931128081693737</v>
      </c>
      <c r="I85" s="30">
        <v>17.824185481607532</v>
      </c>
      <c r="J85" s="30">
        <v>0.22999999999999998</v>
      </c>
      <c r="K85" s="30">
        <v>43.030496093554831</v>
      </c>
      <c r="L85" s="30">
        <f t="shared" si="5"/>
        <v>20.470277306542577</v>
      </c>
      <c r="M85" s="30">
        <v>-1.4676182178704114</v>
      </c>
      <c r="N85" s="30">
        <v>0.16995326172305267</v>
      </c>
      <c r="O85" s="97">
        <v>0.5</v>
      </c>
      <c r="P85" s="30">
        <v>0.57200000000000006</v>
      </c>
      <c r="Q85" s="30">
        <v>1.0766666666666667</v>
      </c>
      <c r="R85" s="30">
        <v>0.0046666666666666671</v>
      </c>
      <c r="S85" s="30">
        <v>10.48661527781799</v>
      </c>
      <c r="T85" s="30">
        <v>17.51828015573723</v>
      </c>
      <c r="U85" s="30">
        <v>0.21000000000000002</v>
      </c>
      <c r="V85" s="30">
        <v>42.185184816115878</v>
      </c>
      <c r="W85" s="30">
        <f t="shared" si="3"/>
        <v>20.973230555635979</v>
      </c>
      <c r="X85" s="30">
        <v>-1.4647189133921967</v>
      </c>
      <c r="Y85" s="30">
        <v>0.15259797792692104</v>
      </c>
      <c r="Z85" s="32">
        <f t="shared" si="4"/>
        <v>0.03400000000000003</v>
      </c>
    </row>
    <row r="86">
      <c r="A86" s="42" t="s">
        <v>138</v>
      </c>
      <c r="B86" s="98">
        <v>2</v>
      </c>
      <c r="C86" s="101">
        <v>10.1</v>
      </c>
      <c r="D86" s="30">
        <v>0.47999999999999998</v>
      </c>
      <c r="E86" s="30">
        <v>0.80200000000000016</v>
      </c>
      <c r="F86" s="30">
        <v>1.3460000000000001</v>
      </c>
      <c r="G86" s="30">
        <v>0.064000000000000001</v>
      </c>
      <c r="H86" s="30">
        <v>9.5877410245219323</v>
      </c>
      <c r="I86" s="30">
        <v>17.829346743417041</v>
      </c>
      <c r="J86" s="30">
        <v>0.23999999999999999</v>
      </c>
      <c r="K86" s="30">
        <v>49.838235294117645</v>
      </c>
      <c r="L86" s="30">
        <f t="shared" si="5"/>
        <v>19.974460467754028</v>
      </c>
      <c r="M86" s="30">
        <v>-1.4361820428260186</v>
      </c>
      <c r="N86" s="30">
        <v>0.17528634507471438</v>
      </c>
      <c r="O86" s="97">
        <v>0.4906666666666667</v>
      </c>
      <c r="P86" s="30">
        <v>0.64866666666666672</v>
      </c>
      <c r="Q86" s="30">
        <v>1.1393333333333335</v>
      </c>
      <c r="R86" s="30">
        <v>0</v>
      </c>
      <c r="S86" s="30">
        <v>10.054311136806213</v>
      </c>
      <c r="T86" s="30">
        <v>18.295774402687066</v>
      </c>
      <c r="U86" s="30">
        <v>0.23733333333333334</v>
      </c>
      <c r="V86" s="30">
        <v>47.863219766141619</v>
      </c>
      <c r="W86" s="30">
        <f t="shared" si="3"/>
        <v>20.491123240773529</v>
      </c>
      <c r="X86" s="30">
        <v>-1.4704396287244745</v>
      </c>
      <c r="Y86" s="30">
        <v>0.11554349843178814</v>
      </c>
      <c r="Z86" s="32">
        <f t="shared" si="4"/>
        <v>-0.010666666666666713</v>
      </c>
    </row>
    <row r="87">
      <c r="A87" s="42" t="s">
        <v>138</v>
      </c>
      <c r="B87" s="98">
        <v>2</v>
      </c>
      <c r="C87" s="101">
        <v>10.109999999999999</v>
      </c>
      <c r="D87" s="30">
        <v>1.0002000000000002</v>
      </c>
      <c r="E87" s="30">
        <v>1.1892000000000003</v>
      </c>
      <c r="F87" s="30">
        <v>2.2692000000000005</v>
      </c>
      <c r="G87" s="30">
        <v>0.07980000000000001</v>
      </c>
      <c r="H87" s="30">
        <v>10.539301378146707</v>
      </c>
      <c r="I87" s="30">
        <v>17.809617835559926</v>
      </c>
      <c r="J87" s="30">
        <v>0.55020000000000002</v>
      </c>
      <c r="K87" s="30">
        <v>52.932621175540852</v>
      </c>
      <c r="L87" s="30">
        <f t="shared" si="5"/>
        <v>10.537193939358833</v>
      </c>
      <c r="M87" s="30">
        <v>-1.5882454492786922</v>
      </c>
      <c r="N87" s="30">
        <v>0.18306676275775174</v>
      </c>
      <c r="O87" s="97">
        <v>0.95933333333333337</v>
      </c>
      <c r="P87" s="30">
        <v>1.1526666666666667</v>
      </c>
      <c r="Q87" s="30">
        <v>2.1666666666666665</v>
      </c>
      <c r="R87" s="30">
        <v>0.054666666666666669</v>
      </c>
      <c r="S87" s="30">
        <v>10.515968041904873</v>
      </c>
      <c r="T87" s="30">
        <v>17.700243586630194</v>
      </c>
      <c r="U87" s="30">
        <v>0.56133333333333324</v>
      </c>
      <c r="V87" s="30">
        <v>57.542844832050577</v>
      </c>
      <c r="W87" s="30">
        <f t="shared" si="3"/>
        <v>10.96174570038729</v>
      </c>
      <c r="X87" s="30">
        <v>-1.5685724752551851</v>
      </c>
      <c r="Y87" s="30">
        <v>0.14503485276839417</v>
      </c>
      <c r="Z87" s="32">
        <f t="shared" si="4"/>
        <v>0.040866666666666829</v>
      </c>
    </row>
    <row r="88">
      <c r="A88" s="52" t="s">
        <v>138</v>
      </c>
      <c r="B88" s="98">
        <v>2</v>
      </c>
      <c r="C88" s="61">
        <v>11</v>
      </c>
      <c r="D88" s="30">
        <v>0.41880000000000006</v>
      </c>
      <c r="E88" s="30">
        <v>0.71520000000000006</v>
      </c>
      <c r="F88" s="30">
        <v>1.1544000000000001</v>
      </c>
      <c r="G88" s="30">
        <v>0.020400000000000001</v>
      </c>
      <c r="H88" s="30">
        <v>11.366818549271773</v>
      </c>
      <c r="I88" s="30">
        <v>17.646813448106993</v>
      </c>
      <c r="J88" s="30">
        <v>0.18360000000000001</v>
      </c>
      <c r="K88" s="30">
        <v>43.813098083712227</v>
      </c>
      <c r="L88" s="30">
        <f t="shared" si="5"/>
        <v>27.141400547449312</v>
      </c>
      <c r="M88" s="30">
        <v>-1.4141547250673305</v>
      </c>
      <c r="N88" s="30">
        <v>0.17381590794121471</v>
      </c>
      <c r="O88" s="97">
        <v>0.42599999999999993</v>
      </c>
      <c r="P88" s="30">
        <v>0.58866666666666678</v>
      </c>
      <c r="Q88" s="30">
        <v>1.0213333333333334</v>
      </c>
      <c r="R88" s="30">
        <v>0.0066666666666666671</v>
      </c>
      <c r="S88" s="30">
        <v>10.804253262606283</v>
      </c>
      <c r="T88" s="30">
        <v>18.371262879143654</v>
      </c>
      <c r="U88" s="30">
        <v>0.188</v>
      </c>
      <c r="V88" s="30">
        <v>43.606316937825078</v>
      </c>
      <c r="W88" s="30">
        <f t="shared" si="3"/>
        <v>25.362096860578131</v>
      </c>
      <c r="X88" s="30">
        <v>-1.4503350200215441</v>
      </c>
      <c r="Y88" s="30">
        <v>0.1627138485199548</v>
      </c>
      <c r="Z88" s="32">
        <f t="shared" si="4"/>
        <v>-0.0071999999999998732</v>
      </c>
    </row>
    <row r="89">
      <c r="A89" s="43" t="s">
        <v>139</v>
      </c>
      <c r="B89" s="98">
        <v>1</v>
      </c>
      <c r="C89" s="61">
        <v>11</v>
      </c>
      <c r="D89" s="30">
        <v>0.68850000000000011</v>
      </c>
      <c r="E89" s="30">
        <v>1.34175</v>
      </c>
      <c r="F89" s="30">
        <v>2.1502500000000002</v>
      </c>
      <c r="G89" s="30">
        <v>0.12</v>
      </c>
      <c r="H89" s="30">
        <v>10.613105645697821</v>
      </c>
      <c r="I89" s="30">
        <v>18.229525179910446</v>
      </c>
      <c r="J89" s="30">
        <v>0.33674999999999999</v>
      </c>
      <c r="K89" s="30">
        <v>48.395357705525015</v>
      </c>
      <c r="L89" s="30">
        <f t="shared" si="5"/>
        <v>15.414823014811649</v>
      </c>
      <c r="M89" s="30">
        <v>-1.5330694810011303</v>
      </c>
      <c r="N89" s="30">
        <v>0.13156072614095601</v>
      </c>
      <c r="O89" s="97">
        <v>0.77133333333333343</v>
      </c>
      <c r="P89" s="30">
        <v>1.3186666666666667</v>
      </c>
      <c r="Q89" s="30">
        <v>2.2846666666666668</v>
      </c>
      <c r="R89" s="30">
        <v>0.19466666666666665</v>
      </c>
      <c r="S89" s="30">
        <v>10.331009833616234</v>
      </c>
      <c r="T89" s="30">
        <v>17.960708145677891</v>
      </c>
      <c r="U89" s="30">
        <v>0.25</v>
      </c>
      <c r="V89" s="30">
        <v>33.108692257415456</v>
      </c>
      <c r="W89" s="30">
        <f t="shared" si="3"/>
        <v>13.393703327938072</v>
      </c>
      <c r="X89" s="30">
        <v>-1.5673106747840959</v>
      </c>
      <c r="Y89" s="30">
        <v>0.13469370238975301</v>
      </c>
      <c r="Z89" s="32">
        <f t="shared" si="4"/>
        <v>-0.082833333333333314</v>
      </c>
    </row>
    <row r="90">
      <c r="A90" s="42" t="s">
        <v>139</v>
      </c>
      <c r="B90" s="98">
        <v>1</v>
      </c>
      <c r="C90" s="43">
        <v>11.01</v>
      </c>
      <c r="D90" s="30">
        <v>0.73999999999999999</v>
      </c>
      <c r="E90" s="30">
        <v>1.2700000000000002</v>
      </c>
      <c r="F90" s="30">
        <v>2.091333333333333</v>
      </c>
      <c r="G90" s="30">
        <v>0.081333333333333327</v>
      </c>
      <c r="H90" s="30">
        <v>10.507069391954898</v>
      </c>
      <c r="I90" s="30">
        <v>17.661737075188185</v>
      </c>
      <c r="J90" s="30">
        <v>0.34200000000000003</v>
      </c>
      <c r="K90" s="30">
        <v>46.869068917920863</v>
      </c>
      <c r="L90" s="30">
        <f t="shared" si="5"/>
        <v>14.198742421560674</v>
      </c>
      <c r="M90" s="30">
        <v>-1.5613139941281415</v>
      </c>
      <c r="N90" s="30">
        <v>0.13297093268063126</v>
      </c>
      <c r="O90" s="97">
        <v>0.6386666666666666</v>
      </c>
      <c r="P90" s="30">
        <v>0.87800000000000011</v>
      </c>
      <c r="Q90" s="30">
        <v>1.5440000000000003</v>
      </c>
      <c r="R90" s="30">
        <v>0.027333333333333334</v>
      </c>
      <c r="S90" s="30">
        <v>10.207866806720471</v>
      </c>
      <c r="T90" s="30">
        <v>16.704058512869551</v>
      </c>
      <c r="U90" s="30">
        <v>0.34800000000000009</v>
      </c>
      <c r="V90" s="30">
        <v>53.877292390576919</v>
      </c>
      <c r="W90" s="30">
        <f t="shared" si="3"/>
        <v>15.983089989645833</v>
      </c>
      <c r="X90" s="30">
        <v>-1.4674942956520207</v>
      </c>
      <c r="Y90" s="30">
        <v>0.11409588441902743</v>
      </c>
      <c r="Z90" s="32">
        <f t="shared" si="4"/>
        <v>0.10133333333333339</v>
      </c>
    </row>
    <row r="91">
      <c r="A91" s="42" t="s">
        <v>139</v>
      </c>
      <c r="B91" s="98">
        <v>1</v>
      </c>
      <c r="C91" s="43">
        <v>11.02</v>
      </c>
      <c r="D91" s="30">
        <v>0.60419999999999996</v>
      </c>
      <c r="E91" s="30">
        <v>0.91500000000000004</v>
      </c>
      <c r="F91" s="30">
        <v>1.623</v>
      </c>
      <c r="G91" s="30">
        <v>0.10380000000000003</v>
      </c>
      <c r="H91" s="30">
        <v>10.518881675242664</v>
      </c>
      <c r="I91" s="30">
        <v>18.026598969910371</v>
      </c>
      <c r="J91" s="30">
        <v>0.31020000000000003</v>
      </c>
      <c r="K91" s="30">
        <v>50.81390555505844</v>
      </c>
      <c r="L91" s="30">
        <f t="shared" si="5"/>
        <v>17.40960224303652</v>
      </c>
      <c r="M91" s="30">
        <v>-1.4654027973983978</v>
      </c>
      <c r="N91" s="30">
        <v>0.12948997032846044</v>
      </c>
      <c r="O91" s="97">
        <v>0.57780000000000009</v>
      </c>
      <c r="P91" s="30">
        <v>0.60540000000000005</v>
      </c>
      <c r="Q91" s="30">
        <v>1.1952000000000003</v>
      </c>
      <c r="R91" s="30">
        <v>0.012</v>
      </c>
      <c r="S91" s="30">
        <v>10.391906744655222</v>
      </c>
      <c r="T91" s="30">
        <v>17.541859054717865</v>
      </c>
      <c r="U91" s="30">
        <v>0.31860000000000005</v>
      </c>
      <c r="V91" s="30">
        <v>54.079660340443411</v>
      </c>
      <c r="W91" s="30">
        <f t="shared" si="3"/>
        <v>17.985300700337866</v>
      </c>
      <c r="X91" s="30">
        <v>-1.4842013523119253</v>
      </c>
      <c r="Y91" s="30">
        <v>0.15648767919564874</v>
      </c>
      <c r="Z91" s="32">
        <f t="shared" si="4"/>
        <v>0.026399999999999868</v>
      </c>
    </row>
    <row r="92">
      <c r="A92" s="42" t="s">
        <v>139</v>
      </c>
      <c r="B92" s="98">
        <v>1</v>
      </c>
      <c r="C92" s="43">
        <v>11.039999999999999</v>
      </c>
      <c r="D92" s="30">
        <v>0.57525000000000004</v>
      </c>
      <c r="E92" s="30">
        <v>0.91200000000000025</v>
      </c>
      <c r="F92" s="30">
        <v>1.4872500000000002</v>
      </c>
      <c r="G92" s="30">
        <v>0</v>
      </c>
      <c r="H92" s="30">
        <v>10.848639282551577</v>
      </c>
      <c r="I92" s="30">
        <v>17.912516317787567</v>
      </c>
      <c r="J92" s="30">
        <v>0.32400000000000001</v>
      </c>
      <c r="K92" s="30">
        <v>55.727688356744878</v>
      </c>
      <c r="L92" s="30">
        <f t="shared" si="5"/>
        <v>18.858999187399526</v>
      </c>
      <c r="M92" s="30">
        <v>-1.499001321115933</v>
      </c>
      <c r="N92" s="30">
        <v>0.19930779901528051</v>
      </c>
      <c r="O92" s="97">
        <v>0.57428571428571418</v>
      </c>
      <c r="P92" s="30">
        <v>0.70200000000000007</v>
      </c>
      <c r="Q92" s="30">
        <v>1.2762857142857145</v>
      </c>
      <c r="R92" s="30">
        <v>0</v>
      </c>
      <c r="S92" s="30">
        <v>10.80850695736993</v>
      </c>
      <c r="T92" s="30">
        <v>17.560462619266776</v>
      </c>
      <c r="U92" s="30">
        <v>0.28971428571428576</v>
      </c>
      <c r="V92" s="30">
        <v>51.051170201292841</v>
      </c>
      <c r="W92" s="30">
        <f t="shared" si="3"/>
        <v>18.820783259101873</v>
      </c>
      <c r="X92" s="30">
        <v>-1.4356830413057657</v>
      </c>
      <c r="Y92" s="30">
        <v>0.1386523393757354</v>
      </c>
      <c r="Z92" s="32">
        <f t="shared" si="4"/>
        <v>0.00096428571428586185</v>
      </c>
    </row>
    <row r="93">
      <c r="A93" s="42" t="s">
        <v>139</v>
      </c>
      <c r="B93" s="98">
        <v>2</v>
      </c>
      <c r="C93" s="43">
        <v>11.109999999999999</v>
      </c>
      <c r="D93" s="30">
        <v>0.47228571428571425</v>
      </c>
      <c r="E93" s="30">
        <v>0.64628571428571424</v>
      </c>
      <c r="F93" s="30">
        <v>1.1185714285714288</v>
      </c>
      <c r="G93" s="30">
        <v>0</v>
      </c>
      <c r="H93" s="30">
        <v>9.7004198616977337</v>
      </c>
      <c r="I93" s="30">
        <v>17.734807642526583</v>
      </c>
      <c r="J93" s="30">
        <v>0.20999999999999999</v>
      </c>
      <c r="K93" s="30">
        <v>42.100871446525836</v>
      </c>
      <c r="L93" s="30">
        <f t="shared" si="5"/>
        <v>20.539304002384796</v>
      </c>
      <c r="M93" s="30">
        <v>-1.5094112557294288</v>
      </c>
      <c r="N93" s="30">
        <v>0.17060729462577742</v>
      </c>
      <c r="O93" s="97">
        <v>0.39333333333333337</v>
      </c>
      <c r="P93" s="30">
        <v>0.4366666666666667</v>
      </c>
      <c r="Q93" s="30">
        <v>0.83066666666666678</v>
      </c>
      <c r="R93" s="30">
        <v>0.00066666666666666664</v>
      </c>
      <c r="S93" s="30">
        <v>10.154935873591642</v>
      </c>
      <c r="T93" s="30">
        <v>17.033187092564116</v>
      </c>
      <c r="U93" s="30">
        <v>0.17133333333333334</v>
      </c>
      <c r="V93" s="30">
        <v>42.6266745309415</v>
      </c>
      <c r="W93" s="30">
        <f t="shared" si="3"/>
        <v>25.8176335769279</v>
      </c>
      <c r="X93" s="30">
        <v>-1.5272630437464905</v>
      </c>
      <c r="Y93" s="30">
        <v>0.21406571719577122</v>
      </c>
      <c r="Z93" s="32">
        <f t="shared" si="4"/>
        <v>0.078952380952380885</v>
      </c>
    </row>
    <row r="94">
      <c r="A94" s="42" t="s">
        <v>139</v>
      </c>
      <c r="B94" s="98">
        <v>1</v>
      </c>
      <c r="C94" s="80">
        <v>11.5</v>
      </c>
      <c r="D94" s="30">
        <v>1.0882499999999999</v>
      </c>
      <c r="E94" s="30">
        <v>1.1092500000000001</v>
      </c>
      <c r="F94" s="30">
        <v>2.4570000000000003</v>
      </c>
      <c r="G94" s="30">
        <v>0.25950000000000001</v>
      </c>
      <c r="H94" s="30">
        <v>10.639411880345422</v>
      </c>
      <c r="I94" s="30">
        <v>17.889214916700119</v>
      </c>
      <c r="J94" s="30">
        <v>0.57399999999999995</v>
      </c>
      <c r="K94" s="30">
        <v>55.658015138728615</v>
      </c>
      <c r="L94" s="30">
        <f t="shared" si="5"/>
        <v>9.7766247464694906</v>
      </c>
      <c r="M94" s="30">
        <v>-1.6794078913402397</v>
      </c>
      <c r="N94" s="30">
        <v>0.33905018060563474</v>
      </c>
      <c r="O94" s="97">
        <v>0.90525000000000011</v>
      </c>
      <c r="P94" s="30">
        <v>0.74325000000000008</v>
      </c>
      <c r="Q94" s="30">
        <v>1.7572500000000004</v>
      </c>
      <c r="R94" s="30">
        <v>0.10875</v>
      </c>
      <c r="S94" s="30">
        <v>10.677112639166811</v>
      </c>
      <c r="T94" s="30">
        <v>17.745975854092933</v>
      </c>
      <c r="U94" s="30">
        <v>0.35250000000000004</v>
      </c>
      <c r="V94" s="30">
        <v>39.406819182705753</v>
      </c>
      <c r="W94" s="30">
        <f t="shared" si="3"/>
        <v>11.7946563260611</v>
      </c>
      <c r="X94" s="30">
        <v>-1.6048908166398417</v>
      </c>
      <c r="Y94" s="30">
        <v>0.2293577306673486</v>
      </c>
      <c r="Z94" s="32">
        <f t="shared" si="4"/>
        <v>0.18299999999999983</v>
      </c>
    </row>
    <row r="95" ht="15">
      <c r="A95" s="81" t="s">
        <v>138</v>
      </c>
      <c r="B95" s="111">
        <v>1</v>
      </c>
      <c r="C95" s="112">
        <v>11.800000000000001</v>
      </c>
      <c r="D95" s="67">
        <v>0.7632000000000001</v>
      </c>
      <c r="E95" s="67">
        <v>1.0614000000000001</v>
      </c>
      <c r="F95" s="67">
        <v>1.9739999999999998</v>
      </c>
      <c r="G95" s="67">
        <v>0.14940000000000003</v>
      </c>
      <c r="H95" s="67">
        <v>10.224562044223834</v>
      </c>
      <c r="I95" s="67">
        <v>17.657475052534529</v>
      </c>
      <c r="J95" s="67">
        <v>0.48720000000000008</v>
      </c>
      <c r="K95" s="67">
        <v>62.888398781770505</v>
      </c>
      <c r="L95" s="30">
        <f t="shared" si="5"/>
        <v>13.396962846205232</v>
      </c>
      <c r="M95" s="67">
        <v>-1.4839510389462007</v>
      </c>
      <c r="N95" s="67">
        <v>0.090825845594802931</v>
      </c>
      <c r="O95" s="69">
        <v>0.69375000000000009</v>
      </c>
      <c r="P95" s="67">
        <v>0.91125000000000012</v>
      </c>
      <c r="Q95" s="67">
        <v>1.74525</v>
      </c>
      <c r="R95" s="67">
        <v>0.14025000000000004</v>
      </c>
      <c r="S95" s="67">
        <v>10.086044631470093</v>
      </c>
      <c r="T95" s="67">
        <v>17.030513545246126</v>
      </c>
      <c r="U95" s="67">
        <v>0.43200000000000005</v>
      </c>
      <c r="V95" s="67">
        <v>60.424079772533041</v>
      </c>
      <c r="W95" s="30">
        <f t="shared" si="3"/>
        <v>14.538442712028962</v>
      </c>
      <c r="X95" s="67">
        <v>-1.4762286733356</v>
      </c>
      <c r="Y95" s="67">
        <v>0.056796339989283684</v>
      </c>
      <c r="Z95" s="85">
        <f t="shared" si="4"/>
        <v>0.069450000000000012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lessThan" id="{003C003B-00E6-44AE-B0DA-0098007700C1}">
            <xm:f>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Z2:Z95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Y5" activeCellId="0" sqref="Y5"/>
    </sheetView>
  </sheetViews>
  <sheetFormatPr baseColWidth="10" defaultRowHeight="14.25"/>
  <cols>
    <col customWidth="1" min="1" max="1" style="43" width="6.33203125"/>
    <col bestFit="1" customWidth="1" min="2" max="2" style="43" width="5.33203125"/>
    <col bestFit="1" customWidth="1" min="3" max="3" width="6"/>
    <col bestFit="1" customWidth="1" min="4" max="4" width="5.109375"/>
    <col bestFit="1" customWidth="1" min="5" max="5" width="6.109375"/>
    <col bestFit="1" customWidth="1" min="6" max="7" width="5.6640625"/>
    <col bestFit="1" customWidth="1" min="8" max="8" width="8.44140625"/>
    <col bestFit="1" customWidth="1" min="9" max="9" width="5.5546875"/>
    <col customWidth="1" min="10" max="10" width="5.5546875"/>
    <col bestFit="1" customWidth="1" min="11" max="11" width="6.6640625"/>
    <col customWidth="1" min="12" max="12" style="43" width="6.6640625"/>
    <col bestFit="1" customWidth="1" min="13" max="13" width="5.109375"/>
    <col bestFit="1" customWidth="1" min="14" max="14" width="6.109375"/>
    <col bestFit="1" customWidth="1" min="15" max="16" width="5.6640625"/>
    <col bestFit="1" customWidth="1" min="17" max="17" width="8.44140625"/>
    <col bestFit="1" customWidth="1" min="18" max="18" width="5.5546875"/>
    <col customWidth="1" min="19" max="19" width="5.5546875"/>
    <col bestFit="1" customWidth="1" min="20" max="20" width="6.6640625"/>
    <col customWidth="1" min="21" max="21" style="43" width="6.6640625"/>
    <col customWidth="1" min="22" max="23" width="6.6640625"/>
  </cols>
  <sheetData>
    <row r="1" s="113" customFormat="1" ht="30" customHeight="1">
      <c r="A1" s="1" t="s">
        <v>0</v>
      </c>
      <c r="B1" s="114" t="s">
        <v>1</v>
      </c>
      <c r="C1" s="115" t="s">
        <v>2</v>
      </c>
      <c r="D1" s="4" t="s">
        <v>26</v>
      </c>
      <c r="E1" s="5" t="s">
        <v>27</v>
      </c>
      <c r="F1" s="5" t="s">
        <v>28</v>
      </c>
      <c r="G1" s="5" t="s">
        <v>29</v>
      </c>
      <c r="H1" s="5" t="s">
        <v>30</v>
      </c>
      <c r="I1" s="5" t="s">
        <v>31</v>
      </c>
      <c r="J1" s="10" t="s">
        <v>32</v>
      </c>
      <c r="K1" s="5" t="s">
        <v>33</v>
      </c>
      <c r="L1" s="93" t="s">
        <v>34</v>
      </c>
      <c r="M1" s="12" t="s">
        <v>35</v>
      </c>
      <c r="N1" s="13" t="s">
        <v>36</v>
      </c>
      <c r="O1" s="13" t="s">
        <v>37</v>
      </c>
      <c r="P1" s="13" t="s">
        <v>38</v>
      </c>
      <c r="Q1" s="5" t="s">
        <v>39</v>
      </c>
      <c r="R1" s="5" t="s">
        <v>40</v>
      </c>
      <c r="S1" s="10" t="s">
        <v>41</v>
      </c>
      <c r="T1" s="5" t="s">
        <v>42</v>
      </c>
      <c r="U1" s="93" t="s">
        <v>43</v>
      </c>
      <c r="V1" s="14" t="s">
        <v>44</v>
      </c>
      <c r="W1" s="14" t="s">
        <v>45</v>
      </c>
    </row>
    <row r="2" s="95" customFormat="1">
      <c r="A2" s="52" t="s">
        <v>138</v>
      </c>
      <c r="B2" s="116">
        <v>1</v>
      </c>
      <c r="C2" s="117">
        <v>6</v>
      </c>
      <c r="D2" s="33">
        <v>4.580571428571429</v>
      </c>
      <c r="E2" s="34">
        <v>9.4114285714285728</v>
      </c>
      <c r="F2" s="34">
        <v>0.65571428571428569</v>
      </c>
      <c r="G2" s="34">
        <v>2.5448571428571429</v>
      </c>
      <c r="H2" s="34">
        <v>2.0357142857142856</v>
      </c>
      <c r="I2" s="34">
        <v>11.372140785110508</v>
      </c>
      <c r="J2" s="30">
        <f t="shared" ref="J2:J9" si="6">I2/D2</f>
        <v>2.4826904159111014</v>
      </c>
      <c r="K2" s="34">
        <v>-3.0829682480477771</v>
      </c>
      <c r="L2" s="118">
        <f t="shared" ref="L2:L9" si="7">(H2/D2)*100</f>
        <v>44.442365269461071</v>
      </c>
      <c r="M2" s="36">
        <v>4.8022499999999999</v>
      </c>
      <c r="N2" s="34">
        <v>8.8102500000000017</v>
      </c>
      <c r="O2" s="34">
        <v>0.072000000000000022</v>
      </c>
      <c r="P2" s="34">
        <v>2.7375000000000003</v>
      </c>
      <c r="Q2" s="34">
        <v>2.0647500000000001</v>
      </c>
      <c r="R2" s="34">
        <v>11.577218351403381</v>
      </c>
      <c r="S2" s="30">
        <f t="shared" ref="S2:S9" si="8">Q2/M2</f>
        <v>0.42995470873028269</v>
      </c>
      <c r="T2" s="34">
        <v>-3.0352954448406093</v>
      </c>
      <c r="U2" s="37">
        <f t="shared" ref="U2:U9" si="9">(Q2/M2)*100</f>
        <v>42.995470873028268</v>
      </c>
      <c r="V2" s="38">
        <f t="shared" ref="V2:V9" si="10">M2-D2</f>
        <v>0.22167857142857095</v>
      </c>
      <c r="W2" s="33">
        <f t="shared" ref="W2:W9" si="11">Q2-H2</f>
        <v>0.029035714285714498</v>
      </c>
    </row>
    <row r="3">
      <c r="A3" s="42" t="s">
        <v>139</v>
      </c>
      <c r="B3" s="43">
        <v>1</v>
      </c>
      <c r="C3" s="119">
        <v>6</v>
      </c>
      <c r="D3" s="120">
        <v>5.1610000000000005</v>
      </c>
      <c r="E3" s="30">
        <v>11.030750000000001</v>
      </c>
      <c r="F3" s="30">
        <v>0.87649999999999995</v>
      </c>
      <c r="G3" s="30">
        <v>2.8860000000000001</v>
      </c>
      <c r="H3" s="30">
        <v>2.2750000000000004</v>
      </c>
      <c r="I3" s="30">
        <v>13.369803154261065</v>
      </c>
      <c r="J3" s="30">
        <f t="shared" si="6"/>
        <v>2.5905450792987916</v>
      </c>
      <c r="K3" s="30">
        <v>-3.0763445927944102</v>
      </c>
      <c r="L3" s="72">
        <f t="shared" si="7"/>
        <v>44.08060453400504</v>
      </c>
      <c r="M3" s="97">
        <v>3.7043999999999997</v>
      </c>
      <c r="N3" s="30">
        <v>8.8680000000000003</v>
      </c>
      <c r="O3" s="30">
        <v>0.2772</v>
      </c>
      <c r="P3" s="30">
        <v>1.6644000000000001</v>
      </c>
      <c r="Q3" s="30">
        <v>2.04</v>
      </c>
      <c r="R3" s="30">
        <v>13.543347814920574</v>
      </c>
      <c r="S3" s="30">
        <f t="shared" si="8"/>
        <v>0.55069646906381609</v>
      </c>
      <c r="T3" s="30">
        <v>-2.6001980081955134</v>
      </c>
      <c r="U3" s="45">
        <f t="shared" si="9"/>
        <v>55.069646906381607</v>
      </c>
      <c r="V3" s="46">
        <f t="shared" si="10"/>
        <v>-1.4566000000000008</v>
      </c>
      <c r="W3" s="120">
        <f t="shared" si="11"/>
        <v>-0.23500000000000032</v>
      </c>
    </row>
    <row r="4">
      <c r="A4" s="42" t="s">
        <v>138</v>
      </c>
      <c r="B4" s="121">
        <v>1</v>
      </c>
      <c r="C4" s="122">
        <v>6</v>
      </c>
      <c r="D4" s="120">
        <v>3.3786</v>
      </c>
      <c r="E4" s="30">
        <v>7.6704000000000008</v>
      </c>
      <c r="F4" s="30">
        <v>0.17700000000000002</v>
      </c>
      <c r="G4" s="30">
        <v>1.6998000000000004</v>
      </c>
      <c r="H4" s="30">
        <v>1.6788000000000003</v>
      </c>
      <c r="I4" s="30">
        <v>12.012260751240463</v>
      </c>
      <c r="J4" s="30">
        <f t="shared" si="6"/>
        <v>3.5553959483929622</v>
      </c>
      <c r="K4" s="30">
        <v>-2.8559527498116144</v>
      </c>
      <c r="L4" s="72">
        <f t="shared" si="7"/>
        <v>49.689220387142612</v>
      </c>
      <c r="M4" s="97">
        <v>3.8931428571428568</v>
      </c>
      <c r="N4" s="30">
        <v>8.6811428571428575</v>
      </c>
      <c r="O4" s="30">
        <v>0.068571428571428575</v>
      </c>
      <c r="P4" s="30">
        <v>1.9148571428571433</v>
      </c>
      <c r="Q4" s="30">
        <v>1.9782857142857144</v>
      </c>
      <c r="R4" s="30">
        <v>12.149104870609365</v>
      </c>
      <c r="S4" s="30">
        <f t="shared" si="8"/>
        <v>0.50814619110524006</v>
      </c>
      <c r="T4" s="30">
        <v>-2.8422159172728803</v>
      </c>
      <c r="U4" s="45">
        <f t="shared" si="9"/>
        <v>50.814619110524006</v>
      </c>
      <c r="V4" s="46">
        <f t="shared" si="10"/>
        <v>0.51454285714285675</v>
      </c>
      <c r="W4" s="120">
        <f t="shared" si="11"/>
        <v>0.29948571428571413</v>
      </c>
    </row>
    <row r="5">
      <c r="A5" s="42" t="s">
        <v>139</v>
      </c>
      <c r="B5" s="43">
        <v>2</v>
      </c>
      <c r="C5" s="119">
        <v>6.0199999999999996</v>
      </c>
      <c r="D5" s="120">
        <v>1.4562000000000002</v>
      </c>
      <c r="E5" s="30">
        <v>2.6214000000000004</v>
      </c>
      <c r="F5" s="30">
        <v>0.0089999999999999993</v>
      </c>
      <c r="G5" s="30">
        <v>0.7632000000000001</v>
      </c>
      <c r="H5" s="30">
        <v>0.69300000000000006</v>
      </c>
      <c r="I5" s="30">
        <v>12.563756267579624</v>
      </c>
      <c r="J5" s="30">
        <f t="shared" si="6"/>
        <v>8.6277683474657483</v>
      </c>
      <c r="K5" s="30">
        <v>-2.042861183569967</v>
      </c>
      <c r="L5" s="72">
        <f t="shared" si="7"/>
        <v>47.589616810877629</v>
      </c>
      <c r="M5" s="97">
        <v>1.7988000000000004</v>
      </c>
      <c r="N5" s="30">
        <v>3.2784</v>
      </c>
      <c r="O5" s="30">
        <v>0.013800000000000002</v>
      </c>
      <c r="P5" s="30">
        <v>1.0464</v>
      </c>
      <c r="Q5" s="30">
        <v>0.75239999999999996</v>
      </c>
      <c r="R5" s="30">
        <v>12.287531515703694</v>
      </c>
      <c r="S5" s="30">
        <f t="shared" si="8"/>
        <v>0.41827885256837882</v>
      </c>
      <c r="T5" s="30">
        <v>-2.0987802907227766</v>
      </c>
      <c r="U5" s="45">
        <f t="shared" si="9"/>
        <v>41.827885256837881</v>
      </c>
      <c r="V5" s="46">
        <f t="shared" si="10"/>
        <v>0.34260000000000024</v>
      </c>
      <c r="W5" s="120">
        <f t="shared" si="11"/>
        <v>0.059399999999999897</v>
      </c>
    </row>
    <row r="6">
      <c r="A6" s="42" t="s">
        <v>138</v>
      </c>
      <c r="B6" s="123">
        <v>2</v>
      </c>
      <c r="C6" s="122">
        <v>6.0199999999999996</v>
      </c>
      <c r="D6" s="120">
        <v>5.1914000000000007</v>
      </c>
      <c r="E6" s="30">
        <v>9.8868000000000009</v>
      </c>
      <c r="F6" s="30">
        <v>0.52799999999999991</v>
      </c>
      <c r="G6" s="30">
        <v>3.0990000000000002</v>
      </c>
      <c r="H6" s="30">
        <v>2.0924</v>
      </c>
      <c r="I6" s="30">
        <v>11.375707690498047</v>
      </c>
      <c r="J6" s="30">
        <f t="shared" si="6"/>
        <v>2.1912601014173529</v>
      </c>
      <c r="K6" s="30">
        <v>-2.4397949862401505</v>
      </c>
      <c r="L6" s="72">
        <f t="shared" si="7"/>
        <v>40.305120006164039</v>
      </c>
      <c r="M6" s="97">
        <v>3.911</v>
      </c>
      <c r="N6" s="30">
        <v>7.7090000000000005</v>
      </c>
      <c r="O6" s="30">
        <v>0.026000000000000006</v>
      </c>
      <c r="P6" s="30">
        <v>2.173</v>
      </c>
      <c r="Q6" s="30">
        <v>1.7379999999999998</v>
      </c>
      <c r="R6" s="30">
        <v>11.837695843590204</v>
      </c>
      <c r="S6" s="30">
        <f t="shared" si="8"/>
        <v>0.44438762464842746</v>
      </c>
      <c r="T6" s="30">
        <v>-2.3947631223312409</v>
      </c>
      <c r="U6" s="45">
        <f t="shared" si="9"/>
        <v>44.438762464842746</v>
      </c>
      <c r="V6" s="46">
        <f t="shared" si="10"/>
        <v>-1.2804000000000006</v>
      </c>
      <c r="W6" s="120">
        <f t="shared" si="11"/>
        <v>-0.35440000000000027</v>
      </c>
    </row>
    <row r="7">
      <c r="A7" s="42" t="s">
        <v>139</v>
      </c>
      <c r="B7" s="43">
        <v>2</v>
      </c>
      <c r="C7" s="119">
        <v>6.0300000000000002</v>
      </c>
      <c r="D7" s="120">
        <v>2.1930000000000001</v>
      </c>
      <c r="E7" s="30">
        <v>4.7242500000000005</v>
      </c>
      <c r="F7" s="30">
        <v>0.00975</v>
      </c>
      <c r="G7" s="30">
        <v>1.28775</v>
      </c>
      <c r="H7" s="30">
        <v>0.90525</v>
      </c>
      <c r="I7" s="30">
        <v>11.666553611424687</v>
      </c>
      <c r="J7" s="30">
        <f t="shared" si="6"/>
        <v>5.3199058875625571</v>
      </c>
      <c r="K7" s="30">
        <v>-2.3602350190051138</v>
      </c>
      <c r="L7" s="72">
        <f t="shared" si="7"/>
        <v>41.279069767441861</v>
      </c>
      <c r="M7" s="97">
        <v>2.5117500000000001</v>
      </c>
      <c r="N7" s="30">
        <v>5.4180000000000001</v>
      </c>
      <c r="O7" s="30">
        <v>0.011250000000000001</v>
      </c>
      <c r="P7" s="30">
        <v>1.4467499999999998</v>
      </c>
      <c r="Q7" s="30">
        <v>1.0650000000000002</v>
      </c>
      <c r="R7" s="30">
        <v>11.573851793684852</v>
      </c>
      <c r="S7" s="30">
        <f t="shared" si="8"/>
        <v>0.42400716631830404</v>
      </c>
      <c r="T7" s="30">
        <v>-2.4977638437790963</v>
      </c>
      <c r="U7" s="45">
        <f t="shared" si="9"/>
        <v>42.400716631830406</v>
      </c>
      <c r="V7" s="46">
        <f t="shared" si="10"/>
        <v>0.31875000000000009</v>
      </c>
      <c r="W7" s="120">
        <f t="shared" si="11"/>
        <v>0.15975000000000017</v>
      </c>
    </row>
    <row r="8">
      <c r="A8" s="42" t="s">
        <v>139</v>
      </c>
      <c r="B8" s="43">
        <v>1</v>
      </c>
      <c r="C8" s="119">
        <v>6.0300000000000002</v>
      </c>
      <c r="D8" s="120">
        <v>5.2305000000000001</v>
      </c>
      <c r="E8" s="30">
        <v>12.107249999999999</v>
      </c>
      <c r="F8" s="30">
        <v>0.6944999999999999</v>
      </c>
      <c r="G8" s="30">
        <v>2.7187500000000004</v>
      </c>
      <c r="H8" s="30">
        <v>2.5117500000000001</v>
      </c>
      <c r="I8" s="30">
        <v>11.881663804841775</v>
      </c>
      <c r="J8" s="30">
        <f t="shared" si="6"/>
        <v>2.2716114721043446</v>
      </c>
      <c r="K8" s="30">
        <v>-3.1493295112251669</v>
      </c>
      <c r="L8" s="72">
        <f t="shared" si="7"/>
        <v>48.021221680527674</v>
      </c>
      <c r="M8" s="97">
        <v>4.3905000000000003</v>
      </c>
      <c r="N8" s="30">
        <v>10.069500000000001</v>
      </c>
      <c r="O8" s="30">
        <v>0.63900000000000001</v>
      </c>
      <c r="P8" s="30">
        <v>2.8140000000000001</v>
      </c>
      <c r="Q8" s="30">
        <v>1.5764999999999998</v>
      </c>
      <c r="R8" s="30">
        <v>9.984749344843312</v>
      </c>
      <c r="S8" s="30">
        <f t="shared" si="8"/>
        <v>0.35907072087461556</v>
      </c>
      <c r="T8" s="30">
        <v>-2.70999466215244</v>
      </c>
      <c r="U8" s="45">
        <f t="shared" si="9"/>
        <v>35.907072087461557</v>
      </c>
      <c r="V8" s="46">
        <f t="shared" si="10"/>
        <v>-0.83999999999999986</v>
      </c>
      <c r="W8" s="120">
        <f t="shared" si="11"/>
        <v>-0.93525000000000036</v>
      </c>
    </row>
    <row r="9">
      <c r="A9" s="42" t="s">
        <v>139</v>
      </c>
      <c r="B9" s="43">
        <v>1</v>
      </c>
      <c r="C9" s="119">
        <v>6.0599999999999996</v>
      </c>
      <c r="D9" s="120">
        <v>4.8772500000000001</v>
      </c>
      <c r="E9" s="30">
        <v>9.65625</v>
      </c>
      <c r="F9" s="30">
        <v>0.016500000000000001</v>
      </c>
      <c r="G9" s="30">
        <v>3.0487500000000001</v>
      </c>
      <c r="H9" s="30">
        <v>1.8285000000000005</v>
      </c>
      <c r="I9" s="30">
        <v>11.6530004433322</v>
      </c>
      <c r="J9" s="30">
        <f t="shared" si="6"/>
        <v>2.3892563316074016</v>
      </c>
      <c r="K9" s="30">
        <v>-2.956369052806104</v>
      </c>
      <c r="L9" s="72">
        <f t="shared" si="7"/>
        <v>37.490389051207146</v>
      </c>
      <c r="M9" s="97">
        <v>4.6912500000000001</v>
      </c>
      <c r="N9" s="30">
        <v>8.1135000000000002</v>
      </c>
      <c r="O9" s="30">
        <v>0.021750000000000005</v>
      </c>
      <c r="P9" s="30">
        <v>2.8732500000000005</v>
      </c>
      <c r="Q9" s="30">
        <v>1.8180000000000001</v>
      </c>
      <c r="R9" s="30">
        <v>11.801575714959291</v>
      </c>
      <c r="S9" s="30">
        <f t="shared" si="8"/>
        <v>0.38752997601918465</v>
      </c>
      <c r="T9" s="30">
        <v>-2.8821606018674415</v>
      </c>
      <c r="U9" s="45">
        <f t="shared" si="9"/>
        <v>38.752997601918466</v>
      </c>
      <c r="V9" s="46">
        <f t="shared" si="10"/>
        <v>-0.18599999999999994</v>
      </c>
      <c r="W9" s="120">
        <f t="shared" si="11"/>
        <v>-0.010500000000000398</v>
      </c>
    </row>
    <row r="10">
      <c r="A10" s="42" t="s">
        <v>138</v>
      </c>
      <c r="B10" s="43">
        <v>2</v>
      </c>
      <c r="C10" s="124">
        <v>6.0599999999999996</v>
      </c>
      <c r="D10" s="120">
        <v>2.8470000000000004</v>
      </c>
      <c r="E10" s="30">
        <v>5.8770000000000007</v>
      </c>
      <c r="F10" s="30">
        <v>0.024</v>
      </c>
      <c r="G10" s="30">
        <v>1.62825</v>
      </c>
      <c r="H10" s="30">
        <v>1.21875</v>
      </c>
      <c r="I10" s="30">
        <v>11.359421039342035</v>
      </c>
      <c r="J10" s="30">
        <f t="shared" ref="J10:J73" si="12">I10/D10</f>
        <v>3.9899617279037698</v>
      </c>
      <c r="K10" s="30">
        <v>-2.5857064999112289</v>
      </c>
      <c r="L10" s="72">
        <f t="shared" ref="L10:L73" si="13">(H10/D10)*100</f>
        <v>42.808219178082183</v>
      </c>
      <c r="M10" s="97">
        <v>2.8222500000000004</v>
      </c>
      <c r="N10" s="30">
        <v>4.8892500000000005</v>
      </c>
      <c r="O10" s="30">
        <v>0.064500000000000002</v>
      </c>
      <c r="P10" s="30">
        <v>1.54125</v>
      </c>
      <c r="Q10" s="30">
        <v>1.2809999999999999</v>
      </c>
      <c r="R10" s="30">
        <v>12.038692430156265</v>
      </c>
      <c r="S10" s="30">
        <f t="shared" ref="S10:S73" si="14">Q10/M10</f>
        <v>0.45389317034281151</v>
      </c>
      <c r="T10" s="30">
        <v>-2.7134262033807142</v>
      </c>
      <c r="U10" s="45">
        <f t="shared" ref="U10:U73" si="15">(Q10/M10)*100</f>
        <v>45.389317034281149</v>
      </c>
      <c r="V10" s="46">
        <f t="shared" ref="V10:V73" si="16">M10-D10</f>
        <v>-0.02475000000000005</v>
      </c>
      <c r="W10" s="120">
        <f t="shared" ref="W10:W73" si="17">Q10-H10</f>
        <v>0.062249999999999917</v>
      </c>
    </row>
    <row r="11">
      <c r="A11" s="42" t="s">
        <v>139</v>
      </c>
      <c r="B11" s="43">
        <v>1</v>
      </c>
      <c r="C11" s="125">
        <v>6.0899999999999999</v>
      </c>
      <c r="D11" s="120">
        <v>2.6886666666666668</v>
      </c>
      <c r="E11" s="30">
        <v>4.7480000000000002</v>
      </c>
      <c r="F11" s="30">
        <v>0.0093333333333333324</v>
      </c>
      <c r="G11" s="30">
        <v>1.6599999999999999</v>
      </c>
      <c r="H11" s="30">
        <v>1.0286666666666671</v>
      </c>
      <c r="I11" s="30">
        <v>11.496816053960821</v>
      </c>
      <c r="J11" s="30">
        <f t="shared" si="12"/>
        <v>4.2760287827773942</v>
      </c>
      <c r="K11" s="30">
        <v>-2.3681506664249414</v>
      </c>
      <c r="L11" s="72">
        <f t="shared" si="13"/>
        <v>38.259360277708915</v>
      </c>
      <c r="M11" s="97">
        <v>2.5700000000000003</v>
      </c>
      <c r="N11" s="30">
        <v>4.8660000000000005</v>
      </c>
      <c r="O11" s="30">
        <v>0.034666666666666672</v>
      </c>
      <c r="P11" s="30">
        <v>1.5193333333333332</v>
      </c>
      <c r="Q11" s="30">
        <v>1.0506666666666669</v>
      </c>
      <c r="R11" s="30">
        <v>11.684883252307916</v>
      </c>
      <c r="S11" s="30">
        <f t="shared" si="14"/>
        <v>0.40881971465629058</v>
      </c>
      <c r="T11" s="30">
        <v>-2.3003613184357072</v>
      </c>
      <c r="U11" s="45">
        <f t="shared" si="15"/>
        <v>40.881971465629057</v>
      </c>
      <c r="V11" s="46">
        <f t="shared" si="16"/>
        <v>-0.11866666666666648</v>
      </c>
      <c r="W11" s="120">
        <f t="shared" si="17"/>
        <v>0.021999999999999797</v>
      </c>
    </row>
    <row r="12">
      <c r="A12" s="42" t="s">
        <v>139</v>
      </c>
      <c r="B12" s="43">
        <v>1</v>
      </c>
      <c r="C12" s="119">
        <v>6.0899999999999999</v>
      </c>
      <c r="D12" s="120">
        <v>1.8353999999999999</v>
      </c>
      <c r="E12" s="30">
        <v>3.6498000000000004</v>
      </c>
      <c r="F12" s="30">
        <v>0.012</v>
      </c>
      <c r="G12" s="30">
        <v>1.1081999999999999</v>
      </c>
      <c r="H12" s="30">
        <v>0.72720000000000007</v>
      </c>
      <c r="I12" s="30">
        <v>11.393126371265438</v>
      </c>
      <c r="J12" s="30">
        <f t="shared" si="12"/>
        <v>6.2074350938571641</v>
      </c>
      <c r="K12" s="30">
        <v>-2.4967349467163791</v>
      </c>
      <c r="L12" s="72">
        <f t="shared" si="13"/>
        <v>39.620791108205303</v>
      </c>
      <c r="M12" s="97">
        <v>2.0718000000000005</v>
      </c>
      <c r="N12" s="30">
        <v>4.483200000000001</v>
      </c>
      <c r="O12" s="30">
        <v>0.012</v>
      </c>
      <c r="P12" s="30">
        <v>1.2713999999999999</v>
      </c>
      <c r="Q12" s="30">
        <v>0.80040000000000011</v>
      </c>
      <c r="R12" s="30">
        <v>11.949490819276383</v>
      </c>
      <c r="S12" s="30">
        <f t="shared" si="14"/>
        <v>0.38633072690414128</v>
      </c>
      <c r="T12" s="30">
        <v>-2.4149426444169211</v>
      </c>
      <c r="U12" s="45">
        <f t="shared" si="15"/>
        <v>38.633072690414124</v>
      </c>
      <c r="V12" s="46">
        <f t="shared" si="16"/>
        <v>0.23640000000000061</v>
      </c>
      <c r="W12" s="120">
        <f t="shared" si="17"/>
        <v>0.073200000000000043</v>
      </c>
    </row>
    <row r="13">
      <c r="A13" s="42" t="s">
        <v>138</v>
      </c>
      <c r="B13" s="43">
        <v>2</v>
      </c>
      <c r="C13" s="126">
        <v>6.0899999999999999</v>
      </c>
      <c r="D13" s="120">
        <v>2.1545999999999998</v>
      </c>
      <c r="E13" s="30">
        <v>4.5881999999999996</v>
      </c>
      <c r="F13" s="30">
        <v>0.047400000000000012</v>
      </c>
      <c r="G13" s="30">
        <v>1.1892</v>
      </c>
      <c r="H13" s="30">
        <v>0.96540000000000015</v>
      </c>
      <c r="I13" s="30">
        <v>11.986975603545117</v>
      </c>
      <c r="J13" s="30">
        <f t="shared" si="12"/>
        <v>5.5634343282025052</v>
      </c>
      <c r="K13" s="30">
        <v>-2.4085319886409655</v>
      </c>
      <c r="L13" s="72">
        <f t="shared" si="13"/>
        <v>44.80646059593429</v>
      </c>
      <c r="M13" s="97">
        <v>2.4673333333333338</v>
      </c>
      <c r="N13" s="30">
        <v>4.6573333333333338</v>
      </c>
      <c r="O13" s="30">
        <v>0.018000000000000002</v>
      </c>
      <c r="P13" s="30">
        <v>1.464</v>
      </c>
      <c r="Q13" s="30">
        <v>1.0033333333333334</v>
      </c>
      <c r="R13" s="30">
        <v>12.25359923504033</v>
      </c>
      <c r="S13" s="30">
        <f t="shared" si="14"/>
        <v>0.4066468522021075</v>
      </c>
      <c r="T13" s="30">
        <v>-2.3832624977597661</v>
      </c>
      <c r="U13" s="45">
        <f t="shared" si="15"/>
        <v>40.66468522021075</v>
      </c>
      <c r="V13" s="46">
        <f t="shared" si="16"/>
        <v>0.31273333333333397</v>
      </c>
      <c r="W13" s="120">
        <f t="shared" si="17"/>
        <v>0.037933333333333263</v>
      </c>
    </row>
    <row r="14">
      <c r="A14" s="42" t="s">
        <v>138</v>
      </c>
      <c r="B14" s="127">
        <v>2</v>
      </c>
      <c r="C14" s="128">
        <v>6.0899999999999999</v>
      </c>
      <c r="D14" s="120">
        <v>2.4937499999999999</v>
      </c>
      <c r="E14" s="30">
        <v>5.0317499999999997</v>
      </c>
      <c r="F14" s="30">
        <v>0.063750000000000001</v>
      </c>
      <c r="G14" s="30">
        <v>1.39575</v>
      </c>
      <c r="H14" s="30">
        <v>1.0980000000000001</v>
      </c>
      <c r="I14" s="30">
        <v>10.97531355985496</v>
      </c>
      <c r="J14" s="30">
        <f t="shared" si="12"/>
        <v>4.4011282445533677</v>
      </c>
      <c r="K14" s="30">
        <v>-2.1699687367428715</v>
      </c>
      <c r="L14" s="72">
        <f t="shared" si="13"/>
        <v>44.030075187969928</v>
      </c>
      <c r="M14" s="97">
        <v>2.8128000000000002</v>
      </c>
      <c r="N14" s="30">
        <v>5.0891999999999999</v>
      </c>
      <c r="O14" s="30">
        <v>0.051000000000000004</v>
      </c>
      <c r="P14" s="30">
        <v>1.6938000000000002</v>
      </c>
      <c r="Q14" s="30">
        <v>1.119</v>
      </c>
      <c r="R14" s="30">
        <v>11.778211148622692</v>
      </c>
      <c r="S14" s="30">
        <f t="shared" si="14"/>
        <v>0.39782423208191126</v>
      </c>
      <c r="T14" s="30">
        <v>-2.4061185680747323</v>
      </c>
      <c r="U14" s="45">
        <f t="shared" si="15"/>
        <v>39.782423208191126</v>
      </c>
      <c r="V14" s="46">
        <f t="shared" si="16"/>
        <v>0.31905000000000028</v>
      </c>
      <c r="W14" s="120">
        <f t="shared" si="17"/>
        <v>0.020999999999999908</v>
      </c>
    </row>
    <row r="15">
      <c r="A15" s="42" t="s">
        <v>139</v>
      </c>
      <c r="B15" s="43">
        <v>2</v>
      </c>
      <c r="C15" s="129">
        <v>6.0999999999999996</v>
      </c>
      <c r="D15" s="120">
        <v>3.2126666666666668</v>
      </c>
      <c r="E15" s="30">
        <v>6.8015555555555567</v>
      </c>
      <c r="F15" s="30">
        <v>0.02377777777777778</v>
      </c>
      <c r="G15" s="30">
        <v>1.6751111111111112</v>
      </c>
      <c r="H15" s="30">
        <v>1.5375555555555556</v>
      </c>
      <c r="I15" s="30">
        <v>11.751606522739216</v>
      </c>
      <c r="J15" s="30">
        <f t="shared" si="12"/>
        <v>3.6578978593294922</v>
      </c>
      <c r="K15" s="30">
        <v>-2.3927993308615063</v>
      </c>
      <c r="L15" s="72">
        <f t="shared" si="13"/>
        <v>47.859168568859374</v>
      </c>
      <c r="M15" s="97">
        <v>3.3252000000000002</v>
      </c>
      <c r="N15" s="30">
        <v>5.4923999999999999</v>
      </c>
      <c r="O15" s="30">
        <v>0.0264</v>
      </c>
      <c r="P15" s="30">
        <v>1.8516000000000006</v>
      </c>
      <c r="Q15" s="30">
        <v>1.4736</v>
      </c>
      <c r="R15" s="30">
        <v>11.845657919089319</v>
      </c>
      <c r="S15" s="30">
        <f t="shared" si="14"/>
        <v>0.44316131360519667</v>
      </c>
      <c r="T15" s="30">
        <v>-2.4238884215403247</v>
      </c>
      <c r="U15" s="45">
        <f t="shared" si="15"/>
        <v>44.31613136051967</v>
      </c>
      <c r="V15" s="46">
        <f t="shared" si="16"/>
        <v>0.11253333333333337</v>
      </c>
      <c r="W15" s="120">
        <f t="shared" si="17"/>
        <v>-0.063955555555555543</v>
      </c>
    </row>
    <row r="16">
      <c r="A16" s="42" t="s">
        <v>138</v>
      </c>
      <c r="B16" s="43">
        <v>1</v>
      </c>
      <c r="C16" s="120">
        <v>6.0999999999999996</v>
      </c>
      <c r="D16" s="120">
        <v>1.4538000000000002</v>
      </c>
      <c r="E16" s="30">
        <v>2.8752</v>
      </c>
      <c r="F16" s="30">
        <v>0.016800000000000002</v>
      </c>
      <c r="G16" s="30">
        <v>0.76560000000000017</v>
      </c>
      <c r="H16" s="30">
        <v>0.68820000000000003</v>
      </c>
      <c r="I16" s="30">
        <v>11.494026207030199</v>
      </c>
      <c r="J16" s="30">
        <f t="shared" si="12"/>
        <v>7.906194942241159</v>
      </c>
      <c r="K16" s="30">
        <v>-2.1096623608931266</v>
      </c>
      <c r="L16" s="72">
        <f t="shared" si="13"/>
        <v>47.338010730499377</v>
      </c>
      <c r="M16" s="97">
        <v>1.4178000000000002</v>
      </c>
      <c r="N16" s="30">
        <v>2.9682000000000004</v>
      </c>
      <c r="O16" s="30">
        <v>0.024600000000000004</v>
      </c>
      <c r="P16" s="30">
        <v>0.77700000000000002</v>
      </c>
      <c r="Q16" s="30">
        <v>0.64080000000000004</v>
      </c>
      <c r="R16" s="30">
        <v>11.280097362069011</v>
      </c>
      <c r="S16" s="30">
        <f t="shared" si="14"/>
        <v>0.45196783749471009</v>
      </c>
      <c r="T16" s="30">
        <v>-1.9928643684664444</v>
      </c>
      <c r="U16" s="45">
        <f t="shared" si="15"/>
        <v>45.19678374947101</v>
      </c>
      <c r="V16" s="46">
        <f t="shared" si="16"/>
        <v>-0.036000000000000032</v>
      </c>
      <c r="W16" s="120">
        <f t="shared" si="17"/>
        <v>-0.047399999999999998</v>
      </c>
    </row>
    <row r="17">
      <c r="A17" s="42" t="s">
        <v>138</v>
      </c>
      <c r="B17" s="130">
        <v>2</v>
      </c>
      <c r="C17" s="131">
        <v>6.1100000000000003</v>
      </c>
      <c r="D17" s="120">
        <v>2.6976000000000004</v>
      </c>
      <c r="E17" s="30">
        <v>5.2254000000000014</v>
      </c>
      <c r="F17" s="30">
        <v>0.0126</v>
      </c>
      <c r="G17" s="30">
        <v>1.53</v>
      </c>
      <c r="H17" s="30">
        <v>1.1676000000000002</v>
      </c>
      <c r="I17" s="30">
        <v>11.451549829467057</v>
      </c>
      <c r="J17" s="30">
        <f t="shared" si="12"/>
        <v>4.2450881633552253</v>
      </c>
      <c r="K17" s="30">
        <v>-2.2959360568048957</v>
      </c>
      <c r="L17" s="72">
        <f t="shared" si="13"/>
        <v>43.282918149466191</v>
      </c>
      <c r="M17" s="97">
        <v>2.6568000000000005</v>
      </c>
      <c r="N17" s="30">
        <v>4.5713999999999997</v>
      </c>
      <c r="O17" s="30">
        <v>0.032400000000000005</v>
      </c>
      <c r="P17" s="30">
        <v>1.4813999999999998</v>
      </c>
      <c r="Q17" s="30">
        <v>1.1754</v>
      </c>
      <c r="R17" s="30">
        <v>11.506988957671322</v>
      </c>
      <c r="S17" s="30">
        <f t="shared" si="14"/>
        <v>0.44241192411924113</v>
      </c>
      <c r="T17" s="30">
        <v>-2.4318273578136478</v>
      </c>
      <c r="U17" s="45">
        <f t="shared" si="15"/>
        <v>44.241192411924111</v>
      </c>
      <c r="V17" s="46">
        <f t="shared" si="16"/>
        <v>-0.040799999999999947</v>
      </c>
      <c r="W17" s="120">
        <f t="shared" si="17"/>
        <v>0.0077999999999998071</v>
      </c>
    </row>
    <row r="18">
      <c r="A18" s="43" t="s">
        <v>139</v>
      </c>
      <c r="B18" s="43">
        <v>1</v>
      </c>
      <c r="C18" s="126">
        <v>6.5</v>
      </c>
      <c r="D18" s="120">
        <v>4.5166666666666666</v>
      </c>
      <c r="E18" s="30">
        <v>9.6440000000000001</v>
      </c>
      <c r="F18" s="30">
        <v>0.2426666666666667</v>
      </c>
      <c r="G18" s="30">
        <v>2.6164444444444444</v>
      </c>
      <c r="H18" s="30">
        <v>1.9002222222222223</v>
      </c>
      <c r="I18" s="30">
        <v>11.765706141769305</v>
      </c>
      <c r="J18" s="30">
        <f t="shared" si="12"/>
        <v>2.6049533893216177</v>
      </c>
      <c r="K18" s="30">
        <v>-2.5322256913294119</v>
      </c>
      <c r="L18" s="72">
        <f t="shared" si="13"/>
        <v>42.071340713407132</v>
      </c>
      <c r="M18" s="97">
        <v>5.9055000000000009</v>
      </c>
      <c r="N18" s="30">
        <v>10.861499999999999</v>
      </c>
      <c r="O18" s="30">
        <v>0.033750000000000009</v>
      </c>
      <c r="P18" s="30">
        <v>3.5632500000000005</v>
      </c>
      <c r="Q18" s="30">
        <v>2.3422499999999999</v>
      </c>
      <c r="R18" s="30">
        <v>12.251505437245438</v>
      </c>
      <c r="S18" s="30">
        <f t="shared" si="14"/>
        <v>0.39662179324358643</v>
      </c>
      <c r="T18" s="30">
        <v>-2.6622795371684247</v>
      </c>
      <c r="U18" s="45">
        <f t="shared" si="15"/>
        <v>39.66217932435864</v>
      </c>
      <c r="V18" s="46">
        <f t="shared" si="16"/>
        <v>1.3888333333333343</v>
      </c>
      <c r="W18" s="120">
        <f t="shared" si="17"/>
        <v>0.44202777777777769</v>
      </c>
    </row>
    <row r="19">
      <c r="A19" s="52" t="s">
        <v>138</v>
      </c>
      <c r="B19" s="43">
        <v>2</v>
      </c>
      <c r="C19" s="132">
        <v>7</v>
      </c>
      <c r="D19" s="120">
        <v>3.1512000000000002</v>
      </c>
      <c r="E19" s="30">
        <v>7.1556000000000015</v>
      </c>
      <c r="F19" s="30">
        <v>0.0528</v>
      </c>
      <c r="G19" s="30">
        <v>1.5252000000000001</v>
      </c>
      <c r="H19" s="30">
        <v>1.6260000000000001</v>
      </c>
      <c r="I19" s="30">
        <v>11.589848026046246</v>
      </c>
      <c r="J19" s="30">
        <f t="shared" si="12"/>
        <v>3.6779157229138884</v>
      </c>
      <c r="K19" s="30">
        <v>-2.4171824147541514</v>
      </c>
      <c r="L19" s="72">
        <f t="shared" si="13"/>
        <v>51.599390708301598</v>
      </c>
      <c r="M19" s="97">
        <v>2.8130000000000002</v>
      </c>
      <c r="N19" s="30">
        <v>5.5750000000000002</v>
      </c>
      <c r="O19" s="30">
        <v>0.36700000000000005</v>
      </c>
      <c r="P19" s="30">
        <v>1.51</v>
      </c>
      <c r="Q19" s="30">
        <v>1.3030000000000002</v>
      </c>
      <c r="R19" s="30">
        <v>10.451358170591009</v>
      </c>
      <c r="S19" s="30">
        <f t="shared" si="14"/>
        <v>0.46320654105936726</v>
      </c>
      <c r="T19" s="30">
        <v>-2.4492333510239295</v>
      </c>
      <c r="U19" s="45">
        <f t="shared" si="15"/>
        <v>46.320654105936725</v>
      </c>
      <c r="V19" s="46">
        <f t="shared" si="16"/>
        <v>-0.33820000000000006</v>
      </c>
      <c r="W19" s="120">
        <f t="shared" si="17"/>
        <v>-0.32299999999999995</v>
      </c>
    </row>
    <row r="20">
      <c r="A20" s="52" t="s">
        <v>138</v>
      </c>
      <c r="B20" s="43">
        <v>2</v>
      </c>
      <c r="C20" s="132">
        <v>7</v>
      </c>
      <c r="D20" s="120">
        <v>4.1715</v>
      </c>
      <c r="E20" s="30">
        <v>8.6129999999999995</v>
      </c>
      <c r="F20" s="30">
        <v>0.039750000000000001</v>
      </c>
      <c r="G20" s="30">
        <v>2.3130000000000002</v>
      </c>
      <c r="H20" s="30">
        <v>1.8585</v>
      </c>
      <c r="I20" s="30">
        <v>11.508321765834168</v>
      </c>
      <c r="J20" s="30">
        <f t="shared" si="12"/>
        <v>2.758797019257861</v>
      </c>
      <c r="K20" s="30">
        <v>-2.7380026846924954</v>
      </c>
      <c r="L20" s="72">
        <f t="shared" si="13"/>
        <v>44.552319309600861</v>
      </c>
      <c r="M20" s="97">
        <v>3.9480000000000004</v>
      </c>
      <c r="N20" s="30">
        <v>6.1539999999999999</v>
      </c>
      <c r="O20" s="30">
        <v>0.029000000000000001</v>
      </c>
      <c r="P20" s="30">
        <v>2.3260000000000001</v>
      </c>
      <c r="Q20" s="30">
        <v>1.6220000000000001</v>
      </c>
      <c r="R20" s="30">
        <v>11.380449418093264</v>
      </c>
      <c r="S20" s="30">
        <f t="shared" si="14"/>
        <v>0.41084093211752787</v>
      </c>
      <c r="T20" s="30">
        <v>-2.9575878811039176</v>
      </c>
      <c r="U20" s="45">
        <f t="shared" si="15"/>
        <v>41.084093211752787</v>
      </c>
      <c r="V20" s="46">
        <f t="shared" si="16"/>
        <v>-0.22349999999999959</v>
      </c>
      <c r="W20" s="120">
        <f t="shared" si="17"/>
        <v>-0.23649999999999993</v>
      </c>
    </row>
    <row r="21">
      <c r="A21" s="43" t="s">
        <v>139</v>
      </c>
      <c r="B21" s="43">
        <v>2</v>
      </c>
      <c r="C21" s="126">
        <v>7</v>
      </c>
      <c r="D21" s="120">
        <v>2.5284000000000004</v>
      </c>
      <c r="E21" s="30">
        <v>4.4436000000000009</v>
      </c>
      <c r="F21" s="30">
        <v>0.0072000000000000007</v>
      </c>
      <c r="G21" s="30">
        <v>1.6092000000000002</v>
      </c>
      <c r="H21" s="30">
        <v>0.91920000000000002</v>
      </c>
      <c r="I21" s="30">
        <v>11.972103461118079</v>
      </c>
      <c r="J21" s="30">
        <f t="shared" si="12"/>
        <v>4.7350512027836089</v>
      </c>
      <c r="K21" s="30">
        <v>-2.3573715368314514</v>
      </c>
      <c r="L21" s="72">
        <f t="shared" si="13"/>
        <v>36.355007119126711</v>
      </c>
      <c r="M21" s="97">
        <v>3.6213333333333342</v>
      </c>
      <c r="N21" s="30">
        <v>6.338000000000001</v>
      </c>
      <c r="O21" s="30">
        <v>0.032000000000000001</v>
      </c>
      <c r="P21" s="30">
        <v>2.2946666666666671</v>
      </c>
      <c r="Q21" s="30">
        <v>1.3266666666666669</v>
      </c>
      <c r="R21" s="30">
        <v>11.94687647010624</v>
      </c>
      <c r="S21" s="30">
        <f t="shared" si="14"/>
        <v>0.36634756995581735</v>
      </c>
      <c r="T21" s="30">
        <v>-2.3140664219457086</v>
      </c>
      <c r="U21" s="45">
        <f t="shared" si="15"/>
        <v>36.634756995581732</v>
      </c>
      <c r="V21" s="46">
        <f t="shared" si="16"/>
        <v>1.0929333333333338</v>
      </c>
      <c r="W21" s="120">
        <f t="shared" si="17"/>
        <v>0.40746666666666687</v>
      </c>
    </row>
    <row r="22">
      <c r="A22" s="42" t="s">
        <v>139</v>
      </c>
      <c r="B22" s="43">
        <v>2</v>
      </c>
      <c r="C22" s="119">
        <v>7.0099999999999998</v>
      </c>
      <c r="D22" s="120">
        <v>1.7436</v>
      </c>
      <c r="E22" s="30">
        <v>3.5964000000000005</v>
      </c>
      <c r="F22" s="30">
        <v>0.15240000000000001</v>
      </c>
      <c r="G22" s="30">
        <v>0.92040000000000022</v>
      </c>
      <c r="H22" s="30">
        <v>0.82320000000000015</v>
      </c>
      <c r="I22" s="30">
        <v>11.686611252945912</v>
      </c>
      <c r="J22" s="30">
        <f t="shared" si="12"/>
        <v>6.7025758505080937</v>
      </c>
      <c r="K22" s="30">
        <v>-2.2068641896091257</v>
      </c>
      <c r="L22" s="72">
        <f t="shared" si="13"/>
        <v>47.212663454920865</v>
      </c>
      <c r="M22" s="97">
        <v>2.1286666666666663</v>
      </c>
      <c r="N22" s="30">
        <v>4.7826666666666675</v>
      </c>
      <c r="O22" s="30">
        <v>0.01666666666666667</v>
      </c>
      <c r="P22" s="30">
        <v>1.1426666666666667</v>
      </c>
      <c r="Q22" s="30">
        <v>0.98599999999999988</v>
      </c>
      <c r="R22" s="30">
        <v>11.727554128807204</v>
      </c>
      <c r="S22" s="30">
        <f t="shared" si="14"/>
        <v>0.46320075164422175</v>
      </c>
      <c r="T22" s="30">
        <v>-2.279770081828095</v>
      </c>
      <c r="U22" s="45">
        <f t="shared" si="15"/>
        <v>46.320075164422178</v>
      </c>
      <c r="V22" s="46">
        <f t="shared" si="16"/>
        <v>0.38506666666666622</v>
      </c>
      <c r="W22" s="120">
        <f t="shared" si="17"/>
        <v>0.16279999999999972</v>
      </c>
    </row>
    <row r="23">
      <c r="A23" s="42" t="s">
        <v>139</v>
      </c>
      <c r="B23" s="43">
        <v>1</v>
      </c>
      <c r="C23" s="119">
        <v>7.0099999999999998</v>
      </c>
      <c r="D23" s="120">
        <v>1.8353999999999999</v>
      </c>
      <c r="E23" s="30">
        <v>3.6498000000000004</v>
      </c>
      <c r="F23" s="30">
        <v>0.012</v>
      </c>
      <c r="G23" s="30">
        <v>1.1081999999999999</v>
      </c>
      <c r="H23" s="30">
        <v>0.72720000000000007</v>
      </c>
      <c r="I23" s="30">
        <v>11.393126371265438</v>
      </c>
      <c r="J23" s="30">
        <f t="shared" si="12"/>
        <v>6.2074350938571641</v>
      </c>
      <c r="K23" s="30">
        <v>-2.4967349467163791</v>
      </c>
      <c r="L23" s="72">
        <f t="shared" si="13"/>
        <v>39.620791108205303</v>
      </c>
      <c r="M23" s="97">
        <v>2.0718000000000005</v>
      </c>
      <c r="N23" s="30">
        <v>4.483200000000001</v>
      </c>
      <c r="O23" s="30">
        <v>0.012</v>
      </c>
      <c r="P23" s="30">
        <v>1.2713999999999999</v>
      </c>
      <c r="Q23" s="30">
        <v>0.80040000000000011</v>
      </c>
      <c r="R23" s="30">
        <v>11.949490819276383</v>
      </c>
      <c r="S23" s="30">
        <f t="shared" si="14"/>
        <v>0.38633072690414128</v>
      </c>
      <c r="T23" s="30">
        <v>-2.4149426444169211</v>
      </c>
      <c r="U23" s="45">
        <f t="shared" si="15"/>
        <v>38.633072690414124</v>
      </c>
      <c r="V23" s="46">
        <f t="shared" si="16"/>
        <v>0.23640000000000061</v>
      </c>
      <c r="W23" s="120">
        <f t="shared" si="17"/>
        <v>0.073200000000000043</v>
      </c>
    </row>
    <row r="24">
      <c r="A24" s="42" t="s">
        <v>138</v>
      </c>
      <c r="B24" s="121">
        <v>1</v>
      </c>
      <c r="C24" s="122">
        <v>7.0099999999999998</v>
      </c>
      <c r="D24" s="120">
        <v>1.3746666666666667</v>
      </c>
      <c r="E24" s="30">
        <v>3.2033333333333331</v>
      </c>
      <c r="F24" s="30">
        <v>0.060666666666666674</v>
      </c>
      <c r="G24" s="30">
        <v>0.71933333333333338</v>
      </c>
      <c r="H24" s="30">
        <v>0.65533333333333343</v>
      </c>
      <c r="I24" s="30">
        <v>12.230750781417129</v>
      </c>
      <c r="J24" s="30">
        <f t="shared" si="12"/>
        <v>8.8972483860939349</v>
      </c>
      <c r="K24" s="30">
        <v>-2.2047852797173548</v>
      </c>
      <c r="L24" s="72">
        <f t="shared" si="13"/>
        <v>47.672162948593602</v>
      </c>
      <c r="M24" s="97">
        <v>1.1892</v>
      </c>
      <c r="N24" s="30">
        <v>2.9034000000000004</v>
      </c>
      <c r="O24" s="30">
        <v>0.028800000000000003</v>
      </c>
      <c r="P24" s="30">
        <v>0.58020000000000016</v>
      </c>
      <c r="Q24" s="30">
        <v>0.6090000000000001</v>
      </c>
      <c r="R24" s="30">
        <v>13.03448321763398</v>
      </c>
      <c r="S24" s="30">
        <f t="shared" si="14"/>
        <v>0.51210898082744705</v>
      </c>
      <c r="T24" s="30">
        <v>-2.1226057787950694</v>
      </c>
      <c r="U24" s="45">
        <f t="shared" si="15"/>
        <v>51.210898082744706</v>
      </c>
      <c r="V24" s="46">
        <f t="shared" si="16"/>
        <v>-0.18546666666666667</v>
      </c>
      <c r="W24" s="120">
        <f t="shared" si="17"/>
        <v>-0.046333333333333337</v>
      </c>
    </row>
    <row r="25">
      <c r="A25" s="43" t="s">
        <v>139</v>
      </c>
      <c r="B25" s="43">
        <v>2</v>
      </c>
      <c r="C25" s="126">
        <v>7.0300000000000002</v>
      </c>
      <c r="D25" s="120">
        <v>3.9973333333333332</v>
      </c>
      <c r="E25" s="30">
        <v>7.6153333333333348</v>
      </c>
      <c r="F25" s="30">
        <v>0.23000000000000004</v>
      </c>
      <c r="G25" s="30">
        <v>2.2393333333333336</v>
      </c>
      <c r="H25" s="30">
        <v>1.758</v>
      </c>
      <c r="I25" s="30">
        <v>11.809522210341905</v>
      </c>
      <c r="J25" s="30">
        <f t="shared" si="12"/>
        <v>2.9543501193316977</v>
      </c>
      <c r="K25" s="30">
        <v>-2.8616185382931709</v>
      </c>
      <c r="L25" s="72">
        <f t="shared" si="13"/>
        <v>43.979319546364245</v>
      </c>
      <c r="M25" s="97">
        <v>4.0140000000000002</v>
      </c>
      <c r="N25" s="30">
        <v>8.1274285714285721</v>
      </c>
      <c r="O25" s="30">
        <v>0.090857142857142872</v>
      </c>
      <c r="P25" s="30">
        <v>2.0982857142857148</v>
      </c>
      <c r="Q25" s="30">
        <v>1.9157142857142859</v>
      </c>
      <c r="R25" s="30">
        <v>11.788760860910827</v>
      </c>
      <c r="S25" s="30">
        <f t="shared" si="14"/>
        <v>0.47725816784112751</v>
      </c>
      <c r="T25" s="30">
        <v>-2.8496384454240213</v>
      </c>
      <c r="U25" s="45">
        <f t="shared" si="15"/>
        <v>47.725816784112752</v>
      </c>
      <c r="V25" s="46">
        <f t="shared" si="16"/>
        <v>0.016666666666667052</v>
      </c>
      <c r="W25" s="120">
        <f t="shared" si="17"/>
        <v>0.15771428571428592</v>
      </c>
    </row>
    <row r="26">
      <c r="A26" s="42" t="s">
        <v>138</v>
      </c>
      <c r="B26" s="43">
        <v>2</v>
      </c>
      <c r="C26" s="126">
        <v>7.0300000000000002</v>
      </c>
      <c r="D26" s="120">
        <v>3.9306000000000005</v>
      </c>
      <c r="E26" s="30">
        <v>8.0670000000000002</v>
      </c>
      <c r="F26" s="30">
        <v>0.096600000000000005</v>
      </c>
      <c r="G26" s="30">
        <v>2.1228000000000002</v>
      </c>
      <c r="H26" s="30">
        <v>1.8078000000000007</v>
      </c>
      <c r="I26" s="30">
        <v>11.256351120119616</v>
      </c>
      <c r="J26" s="30">
        <f t="shared" si="12"/>
        <v>2.8637742635016572</v>
      </c>
      <c r="K26" s="30">
        <v>-2.3682563703904811</v>
      </c>
      <c r="L26" s="72">
        <f t="shared" si="13"/>
        <v>45.992978171271574</v>
      </c>
      <c r="M26" s="97">
        <v>3.5334000000000003</v>
      </c>
      <c r="N26" s="30">
        <v>6.8790000000000004</v>
      </c>
      <c r="O26" s="30">
        <v>0.0504</v>
      </c>
      <c r="P26" s="30">
        <v>1.9014000000000002</v>
      </c>
      <c r="Q26" s="30">
        <v>1.6320000000000001</v>
      </c>
      <c r="R26" s="30">
        <v>11.614165051393094</v>
      </c>
      <c r="S26" s="30">
        <f t="shared" si="14"/>
        <v>0.46187807777211748</v>
      </c>
      <c r="T26" s="30">
        <v>-2.4540962699734572</v>
      </c>
      <c r="U26" s="45">
        <f t="shared" si="15"/>
        <v>46.187807777211745</v>
      </c>
      <c r="V26" s="46">
        <f t="shared" si="16"/>
        <v>-0.39720000000000022</v>
      </c>
      <c r="W26" s="120">
        <f t="shared" si="17"/>
        <v>-0.17580000000000062</v>
      </c>
    </row>
    <row r="27">
      <c r="A27" s="42" t="s">
        <v>138</v>
      </c>
      <c r="B27" s="43">
        <v>1</v>
      </c>
      <c r="C27" s="126">
        <v>7.0300000000000002</v>
      </c>
      <c r="D27" s="120">
        <v>1.9633333333333336</v>
      </c>
      <c r="E27" s="30">
        <v>4.1913333333333336</v>
      </c>
      <c r="F27" s="30">
        <v>0.15866666666666668</v>
      </c>
      <c r="G27" s="30">
        <v>0.96266666666666678</v>
      </c>
      <c r="H27" s="30">
        <v>1.0006666666666666</v>
      </c>
      <c r="I27" s="30">
        <v>12.15759134502675</v>
      </c>
      <c r="J27" s="30">
        <f t="shared" si="12"/>
        <v>6.1923215679253385</v>
      </c>
      <c r="K27" s="30">
        <v>-2.4218697765650261</v>
      </c>
      <c r="L27" s="72">
        <f t="shared" si="13"/>
        <v>50.967741935483858</v>
      </c>
      <c r="M27" s="97">
        <v>2.1033333333333335</v>
      </c>
      <c r="N27" s="30">
        <v>3.6293333333333333</v>
      </c>
      <c r="O27" s="30">
        <v>0.10866666666666668</v>
      </c>
      <c r="P27" s="30">
        <v>1.0553333333333335</v>
      </c>
      <c r="Q27" s="30">
        <v>1.048</v>
      </c>
      <c r="R27" s="30">
        <v>12.291934629225649</v>
      </c>
      <c r="S27" s="30">
        <f t="shared" si="14"/>
        <v>0.49825673534072901</v>
      </c>
      <c r="T27" s="30">
        <v>-2.6097548805423272</v>
      </c>
      <c r="U27" s="45">
        <f t="shared" si="15"/>
        <v>49.825673534072898</v>
      </c>
      <c r="V27" s="46">
        <f t="shared" si="16"/>
        <v>0.1399999999999999</v>
      </c>
      <c r="W27" s="120">
        <f t="shared" si="17"/>
        <v>0.047333333333333449</v>
      </c>
    </row>
    <row r="28">
      <c r="A28" s="42" t="s">
        <v>138</v>
      </c>
      <c r="B28" s="123">
        <v>2</v>
      </c>
      <c r="C28" s="122">
        <v>7.0300000000000002</v>
      </c>
      <c r="D28" s="120">
        <v>2.0640000000000001</v>
      </c>
      <c r="E28" s="30">
        <v>4.6002000000000001</v>
      </c>
      <c r="F28" s="30">
        <v>0.019800000000000002</v>
      </c>
      <c r="G28" s="30">
        <v>1.0236000000000001</v>
      </c>
      <c r="H28" s="30">
        <v>1.0404</v>
      </c>
      <c r="I28" s="30">
        <v>11.465057141404051</v>
      </c>
      <c r="J28" s="30">
        <f t="shared" si="12"/>
        <v>5.554775746804288</v>
      </c>
      <c r="K28" s="30">
        <v>-2.3862944026147841</v>
      </c>
      <c r="L28" s="72">
        <f t="shared" si="13"/>
        <v>50.406976744186046</v>
      </c>
      <c r="M28" s="97">
        <v>2.0996000000000001</v>
      </c>
      <c r="N28" s="30">
        <v>4.1486000000000001</v>
      </c>
      <c r="O28" s="30">
        <v>0.018200000000000001</v>
      </c>
      <c r="P28" s="30">
        <v>1.1342000000000001</v>
      </c>
      <c r="Q28" s="30">
        <v>0.96540000000000004</v>
      </c>
      <c r="R28" s="30">
        <v>11.479485648812346</v>
      </c>
      <c r="S28" s="30">
        <f t="shared" si="14"/>
        <v>0.45980186702228992</v>
      </c>
      <c r="T28" s="30">
        <v>-2.4457160889022886</v>
      </c>
      <c r="U28" s="45">
        <f t="shared" si="15"/>
        <v>45.980186702228991</v>
      </c>
      <c r="V28" s="46">
        <f t="shared" si="16"/>
        <v>0.035600000000000076</v>
      </c>
      <c r="W28" s="120">
        <f t="shared" si="17"/>
        <v>-0.074999999999999956</v>
      </c>
    </row>
    <row r="29">
      <c r="A29" s="43" t="s">
        <v>139</v>
      </c>
      <c r="B29" s="43">
        <v>1</v>
      </c>
      <c r="C29" s="126">
        <v>7.04</v>
      </c>
      <c r="D29" s="120">
        <v>2.7217777777777776</v>
      </c>
      <c r="E29" s="30">
        <v>5.4760000000000009</v>
      </c>
      <c r="F29" s="30">
        <v>0.035111111111111121</v>
      </c>
      <c r="G29" s="30">
        <v>1.3824444444444444</v>
      </c>
      <c r="H29" s="30">
        <v>1.3393333333333333</v>
      </c>
      <c r="I29" s="30">
        <v>11.620710531761169</v>
      </c>
      <c r="J29" s="30">
        <f t="shared" si="12"/>
        <v>4.2695295062806391</v>
      </c>
      <c r="K29" s="30">
        <v>-2.3495213889778834</v>
      </c>
      <c r="L29" s="72">
        <f t="shared" si="13"/>
        <v>49.208033964728934</v>
      </c>
      <c r="M29" s="97">
        <v>2.1686666666666667</v>
      </c>
      <c r="N29" s="30">
        <v>4.8193333333333328</v>
      </c>
      <c r="O29" s="30">
        <v>0.018000000000000002</v>
      </c>
      <c r="P29" s="30">
        <v>1.198</v>
      </c>
      <c r="Q29" s="30">
        <v>0.9706666666666669</v>
      </c>
      <c r="R29" s="30">
        <v>11.270675624434464</v>
      </c>
      <c r="S29" s="30">
        <f t="shared" si="14"/>
        <v>0.44758684291423312</v>
      </c>
      <c r="T29" s="30">
        <v>-2.4864248344666628</v>
      </c>
      <c r="U29" s="45">
        <f t="shared" si="15"/>
        <v>44.758684291423315</v>
      </c>
      <c r="V29" s="46">
        <f t="shared" si="16"/>
        <v>-0.55311111111111089</v>
      </c>
      <c r="W29" s="120">
        <f t="shared" si="17"/>
        <v>-0.36866666666666636</v>
      </c>
    </row>
    <row r="30">
      <c r="A30" s="43" t="s">
        <v>139</v>
      </c>
      <c r="B30" s="43">
        <v>1</v>
      </c>
      <c r="C30" s="126">
        <v>7.0499999999999998</v>
      </c>
      <c r="D30" s="120">
        <v>3.4044000000000003</v>
      </c>
      <c r="E30" s="30">
        <v>6.9396000000000004</v>
      </c>
      <c r="F30" s="30">
        <v>0.06480000000000001</v>
      </c>
      <c r="G30" s="30">
        <v>1.9614</v>
      </c>
      <c r="H30" s="30">
        <v>1.4430000000000001</v>
      </c>
      <c r="I30" s="30">
        <v>11.642247445864134</v>
      </c>
      <c r="J30" s="30">
        <f t="shared" si="12"/>
        <v>3.4197648472165825</v>
      </c>
      <c r="K30" s="30">
        <v>-2.4545867781788635</v>
      </c>
      <c r="L30" s="72">
        <f t="shared" si="13"/>
        <v>42.386323581247794</v>
      </c>
      <c r="M30" s="97">
        <v>3.0860000000000003</v>
      </c>
      <c r="N30" s="30">
        <v>5.833333333333333</v>
      </c>
      <c r="O30" s="30">
        <v>0.022666666666666675</v>
      </c>
      <c r="P30" s="30">
        <v>1.6839999999999999</v>
      </c>
      <c r="Q30" s="30">
        <v>1.4019999999999999</v>
      </c>
      <c r="R30" s="30">
        <v>11.514176786263228</v>
      </c>
      <c r="S30" s="30">
        <f t="shared" si="14"/>
        <v>0.45430978613091372</v>
      </c>
      <c r="T30" s="30">
        <v>-2.6232276918053601</v>
      </c>
      <c r="U30" s="45">
        <f t="shared" si="15"/>
        <v>45.430978613091369</v>
      </c>
      <c r="V30" s="46">
        <f t="shared" si="16"/>
        <v>-0.31840000000000002</v>
      </c>
      <c r="W30" s="120">
        <f t="shared" si="17"/>
        <v>-0.041000000000000147</v>
      </c>
    </row>
    <row r="31">
      <c r="A31" s="42" t="s">
        <v>138</v>
      </c>
      <c r="B31" s="43">
        <v>1</v>
      </c>
      <c r="C31" s="126">
        <v>7.0499999999999998</v>
      </c>
      <c r="D31" s="120">
        <v>1.3493999999999999</v>
      </c>
      <c r="E31" s="30">
        <v>2.5128000000000004</v>
      </c>
      <c r="F31" s="30">
        <v>0.06720000000000001</v>
      </c>
      <c r="G31" s="30">
        <v>0.63780000000000003</v>
      </c>
      <c r="H31" s="30">
        <v>0.71160000000000001</v>
      </c>
      <c r="I31" s="30">
        <v>12.802594290935946</v>
      </c>
      <c r="J31" s="30">
        <f t="shared" si="12"/>
        <v>9.4876198984259279</v>
      </c>
      <c r="K31" s="30">
        <v>-2.0759116857116995</v>
      </c>
      <c r="L31" s="72">
        <f t="shared" si="13"/>
        <v>52.734548688305914</v>
      </c>
      <c r="M31" s="97">
        <v>1.4148000000000001</v>
      </c>
      <c r="N31" s="30">
        <v>3.1901999999999999</v>
      </c>
      <c r="O31" s="30">
        <v>0.12120000000000002</v>
      </c>
      <c r="P31" s="30">
        <v>0.66660000000000008</v>
      </c>
      <c r="Q31" s="30">
        <v>0.74820000000000009</v>
      </c>
      <c r="R31" s="30">
        <v>12.056091748875469</v>
      </c>
      <c r="S31" s="30">
        <f t="shared" si="14"/>
        <v>0.52883799830364719</v>
      </c>
      <c r="T31" s="30">
        <v>-1.9919825157665016</v>
      </c>
      <c r="U31" s="45">
        <f t="shared" si="15"/>
        <v>52.883799830364723</v>
      </c>
      <c r="V31" s="46">
        <f t="shared" si="16"/>
        <v>0.065400000000000125</v>
      </c>
      <c r="W31" s="120">
        <f t="shared" si="17"/>
        <v>0.036600000000000077</v>
      </c>
    </row>
    <row r="32">
      <c r="A32" s="42" t="s">
        <v>139</v>
      </c>
      <c r="B32" s="43">
        <v>1</v>
      </c>
      <c r="C32" s="119">
        <v>7.0700000000000003</v>
      </c>
      <c r="D32" s="120">
        <v>3.4050000000000002</v>
      </c>
      <c r="E32" s="30">
        <v>5.7366000000000001</v>
      </c>
      <c r="F32" s="30">
        <v>0.0126</v>
      </c>
      <c r="G32" s="30">
        <v>1.857</v>
      </c>
      <c r="H32" s="30">
        <v>1.548</v>
      </c>
      <c r="I32" s="30">
        <v>11.962077388053043</v>
      </c>
      <c r="J32" s="30">
        <f t="shared" si="12"/>
        <v>3.5130917439215983</v>
      </c>
      <c r="K32" s="30">
        <v>-3.0435298975780354</v>
      </c>
      <c r="L32" s="72">
        <f t="shared" si="13"/>
        <v>45.46255506607929</v>
      </c>
      <c r="M32" s="97">
        <v>3.8285999999999993</v>
      </c>
      <c r="N32" s="30">
        <v>7.3506000000000018</v>
      </c>
      <c r="O32" s="30">
        <v>0.045000000000000012</v>
      </c>
      <c r="P32" s="30">
        <v>2.0298000000000003</v>
      </c>
      <c r="Q32" s="30">
        <v>1.7988000000000004</v>
      </c>
      <c r="R32" s="30">
        <v>12.076958835305696</v>
      </c>
      <c r="S32" s="30">
        <f t="shared" si="14"/>
        <v>0.46983231468421893</v>
      </c>
      <c r="T32" s="30">
        <v>-2.9785018544194104</v>
      </c>
      <c r="U32" s="45">
        <f t="shared" si="15"/>
        <v>46.983231468421891</v>
      </c>
      <c r="V32" s="46">
        <f t="shared" si="16"/>
        <v>0.42359999999999909</v>
      </c>
      <c r="W32" s="120">
        <f t="shared" si="17"/>
        <v>0.25080000000000036</v>
      </c>
    </row>
    <row r="33">
      <c r="A33" s="42" t="s">
        <v>138</v>
      </c>
      <c r="B33" s="43">
        <v>1</v>
      </c>
      <c r="C33" s="126">
        <v>7.0700000000000003</v>
      </c>
      <c r="D33" s="120">
        <v>3.2279999999999993</v>
      </c>
      <c r="E33" s="30">
        <v>6.6252000000000013</v>
      </c>
      <c r="F33" s="30">
        <v>0.027600000000000006</v>
      </c>
      <c r="G33" s="30">
        <v>2.0220000000000007</v>
      </c>
      <c r="H33" s="30">
        <v>1.206</v>
      </c>
      <c r="I33" s="30">
        <v>11.225865914702601</v>
      </c>
      <c r="J33" s="30">
        <f t="shared" si="12"/>
        <v>3.4776536290900255</v>
      </c>
      <c r="K33" s="30">
        <v>-2.3094982910482722</v>
      </c>
      <c r="L33" s="72">
        <f t="shared" si="13"/>
        <v>37.360594795539043</v>
      </c>
      <c r="M33" s="97">
        <v>3.1026000000000002</v>
      </c>
      <c r="N33" s="30">
        <v>5.9454000000000011</v>
      </c>
      <c r="O33" s="30">
        <v>0.255</v>
      </c>
      <c r="P33" s="30">
        <v>1.9650000000000003</v>
      </c>
      <c r="Q33" s="30">
        <v>1.1376000000000002</v>
      </c>
      <c r="R33" s="30">
        <v>10.938112950165475</v>
      </c>
      <c r="S33" s="30">
        <f t="shared" si="14"/>
        <v>0.36666022046025915</v>
      </c>
      <c r="T33" s="30">
        <v>-2.3471839499033704</v>
      </c>
      <c r="U33" s="45">
        <f t="shared" si="15"/>
        <v>36.666022046025915</v>
      </c>
      <c r="V33" s="46">
        <f t="shared" si="16"/>
        <v>-0.12539999999999907</v>
      </c>
      <c r="W33" s="120">
        <f t="shared" si="17"/>
        <v>-0.068399999999999794</v>
      </c>
    </row>
    <row r="34">
      <c r="A34" s="62" t="s">
        <v>138</v>
      </c>
      <c r="B34" s="62">
        <v>1</v>
      </c>
      <c r="C34" s="133">
        <v>7.0899999999999999</v>
      </c>
      <c r="D34" s="120">
        <v>3.0869999999999997</v>
      </c>
      <c r="E34" s="30">
        <v>6.5471999999999992</v>
      </c>
      <c r="F34" s="30">
        <v>0.022200000000000004</v>
      </c>
      <c r="G34" s="30">
        <v>1.7238</v>
      </c>
      <c r="H34" s="30">
        <v>1.3632</v>
      </c>
      <c r="I34" s="30">
        <v>11.457322206304772</v>
      </c>
      <c r="J34" s="30">
        <f t="shared" si="12"/>
        <v>3.7114746376108756</v>
      </c>
      <c r="K34" s="30">
        <v>-2.3605143323226185</v>
      </c>
      <c r="L34" s="72">
        <f t="shared" si="13"/>
        <v>44.159378036929056</v>
      </c>
      <c r="M34" s="97">
        <v>3.7716000000000003</v>
      </c>
      <c r="N34" s="30">
        <v>7.4879999999999995</v>
      </c>
      <c r="O34" s="30">
        <v>0.027600000000000003</v>
      </c>
      <c r="P34" s="30">
        <v>2.1030000000000002</v>
      </c>
      <c r="Q34" s="30">
        <v>1.6686000000000003</v>
      </c>
      <c r="R34" s="30">
        <v>11.431923834041324</v>
      </c>
      <c r="S34" s="30">
        <f t="shared" si="14"/>
        <v>0.44241170855870193</v>
      </c>
      <c r="T34" s="30">
        <v>-2.5701413059131246</v>
      </c>
      <c r="U34" s="45">
        <f t="shared" si="15"/>
        <v>44.241170855870195</v>
      </c>
      <c r="V34" s="46">
        <f t="shared" si="16"/>
        <v>0.68460000000000054</v>
      </c>
      <c r="W34" s="120">
        <f t="shared" si="17"/>
        <v>0.30540000000000034</v>
      </c>
    </row>
    <row r="35" ht="15">
      <c r="A35" s="42" t="s">
        <v>139</v>
      </c>
      <c r="B35" s="43">
        <v>1</v>
      </c>
      <c r="C35" s="119">
        <v>7.1100000000000003</v>
      </c>
      <c r="D35" s="120">
        <v>3.6053333333333333</v>
      </c>
      <c r="E35" s="30">
        <v>7.512666666666667</v>
      </c>
      <c r="F35" s="30">
        <v>0.57066666666666666</v>
      </c>
      <c r="G35" s="30">
        <v>2.1733333333333338</v>
      </c>
      <c r="H35" s="30">
        <v>1.4320000000000002</v>
      </c>
      <c r="I35" s="30">
        <v>11.348870970496201</v>
      </c>
      <c r="J35" s="30">
        <f t="shared" si="12"/>
        <v>3.1478007499527183</v>
      </c>
      <c r="K35" s="30">
        <v>-2.3706557697340918</v>
      </c>
      <c r="L35" s="72">
        <f t="shared" si="13"/>
        <v>39.718934911242613</v>
      </c>
      <c r="M35" s="97">
        <v>4.0847999999999995</v>
      </c>
      <c r="N35" s="30">
        <v>8.1426000000000016</v>
      </c>
      <c r="O35" s="30">
        <v>0.057000000000000009</v>
      </c>
      <c r="P35" s="30">
        <v>2.2050000000000001</v>
      </c>
      <c r="Q35" s="30">
        <v>1.8798000000000001</v>
      </c>
      <c r="R35" s="30">
        <v>11.649910160907094</v>
      </c>
      <c r="S35" s="30">
        <f t="shared" si="14"/>
        <v>0.46019388954171569</v>
      </c>
      <c r="T35" s="30">
        <v>-2.4515305782042192</v>
      </c>
      <c r="U35" s="45">
        <f t="shared" si="15"/>
        <v>46.019388954171568</v>
      </c>
      <c r="V35" s="71">
        <f t="shared" si="16"/>
        <v>0.47946666666666626</v>
      </c>
      <c r="W35" s="66">
        <f t="shared" si="17"/>
        <v>0.44779999999999998</v>
      </c>
    </row>
    <row r="36">
      <c r="A36" s="28" t="s">
        <v>138</v>
      </c>
      <c r="B36" s="116">
        <v>1</v>
      </c>
      <c r="C36" s="117">
        <v>8</v>
      </c>
      <c r="D36" s="34">
        <v>4.0071428571428571</v>
      </c>
      <c r="E36" s="34">
        <v>8.267142857142856</v>
      </c>
      <c r="F36" s="34">
        <v>0.66514285714285715</v>
      </c>
      <c r="G36" s="34">
        <v>2.3305714285714285</v>
      </c>
      <c r="H36" s="34">
        <v>1.6765714285714284</v>
      </c>
      <c r="I36" s="34">
        <v>12.055282668492392</v>
      </c>
      <c r="J36" s="30">
        <f t="shared" si="12"/>
        <v>3.0084484377699376</v>
      </c>
      <c r="K36" s="34">
        <v>-2.336546238041977</v>
      </c>
      <c r="L36" s="118">
        <f t="shared" si="13"/>
        <v>41.839572192513366</v>
      </c>
      <c r="M36" s="34">
        <v>3.5880000000000005</v>
      </c>
      <c r="N36" s="34">
        <v>6.3711428571428579</v>
      </c>
      <c r="O36" s="34">
        <v>0.054000000000000013</v>
      </c>
      <c r="P36" s="34">
        <v>2.0305714285714287</v>
      </c>
      <c r="Q36" s="34">
        <v>1.5574285714285716</v>
      </c>
      <c r="R36" s="34">
        <v>11.713965448964087</v>
      </c>
      <c r="S36" s="30">
        <f t="shared" si="14"/>
        <v>0.43406593406593408</v>
      </c>
      <c r="T36" s="34">
        <v>-2.4446972700386036</v>
      </c>
      <c r="U36" s="37">
        <f t="shared" si="15"/>
        <v>43.406593406593409</v>
      </c>
      <c r="V36" s="134">
        <f t="shared" si="16"/>
        <v>-0.4191428571428566</v>
      </c>
      <c r="W36" s="38">
        <f t="shared" si="17"/>
        <v>-0.11914285714285677</v>
      </c>
    </row>
    <row r="37">
      <c r="A37" s="42" t="s">
        <v>139</v>
      </c>
      <c r="B37" s="43">
        <v>1</v>
      </c>
      <c r="C37" s="129">
        <v>8</v>
      </c>
      <c r="D37" s="30">
        <v>2.1798000000000002</v>
      </c>
      <c r="E37" s="30">
        <v>4.7801999999999998</v>
      </c>
      <c r="F37" s="30">
        <v>0.0060000000000000001</v>
      </c>
      <c r="G37" s="30">
        <v>1.2276000000000002</v>
      </c>
      <c r="H37" s="30">
        <v>0.95220000000000005</v>
      </c>
      <c r="I37" s="30">
        <v>11.69987029569516</v>
      </c>
      <c r="J37" s="30">
        <f t="shared" si="12"/>
        <v>5.3674054021906406</v>
      </c>
      <c r="K37" s="30">
        <v>-2.3029856950861602</v>
      </c>
      <c r="L37" s="72">
        <f t="shared" si="13"/>
        <v>43.682906688687034</v>
      </c>
      <c r="M37" s="30">
        <v>2.3148000000000004</v>
      </c>
      <c r="N37" s="30">
        <v>4.3182</v>
      </c>
      <c r="O37" s="30">
        <v>0.018000000000000002</v>
      </c>
      <c r="P37" s="30">
        <v>1.3350000000000004</v>
      </c>
      <c r="Q37" s="30">
        <v>0.9798</v>
      </c>
      <c r="R37" s="30">
        <v>11.709252304419483</v>
      </c>
      <c r="S37" s="30">
        <f t="shared" si="14"/>
        <v>0.42327630896837731</v>
      </c>
      <c r="T37" s="30">
        <v>-2.3472214804454037</v>
      </c>
      <c r="U37" s="45">
        <f t="shared" si="15"/>
        <v>42.327630896837732</v>
      </c>
      <c r="V37" s="39">
        <f t="shared" si="16"/>
        <v>0.13500000000000023</v>
      </c>
      <c r="W37" s="46">
        <f t="shared" si="17"/>
        <v>0.027599999999999958</v>
      </c>
    </row>
    <row r="38">
      <c r="A38" s="42" t="s">
        <v>138</v>
      </c>
      <c r="B38" s="43">
        <v>1</v>
      </c>
      <c r="C38" s="126">
        <v>8.0099999999999998</v>
      </c>
      <c r="D38" s="30">
        <v>1.4366666666666668</v>
      </c>
      <c r="E38" s="30">
        <v>3.0853333333333333</v>
      </c>
      <c r="F38" s="30">
        <v>0.012000000000000002</v>
      </c>
      <c r="G38" s="30">
        <v>0.71600000000000008</v>
      </c>
      <c r="H38" s="30">
        <v>0.72066666666666679</v>
      </c>
      <c r="I38" s="30">
        <v>12.143380065546662</v>
      </c>
      <c r="J38" s="30">
        <f t="shared" si="12"/>
        <v>8.4524687231183258</v>
      </c>
      <c r="K38" s="30">
        <v>-2.1959406982393692</v>
      </c>
      <c r="L38" s="72">
        <f t="shared" si="13"/>
        <v>50.162412993039453</v>
      </c>
      <c r="M38" s="30">
        <v>1.6158000000000001</v>
      </c>
      <c r="N38" s="30">
        <v>3.1614</v>
      </c>
      <c r="O38" s="30">
        <v>0.091800000000000007</v>
      </c>
      <c r="P38" s="30">
        <v>0.7854000000000001</v>
      </c>
      <c r="Q38" s="30">
        <v>0.83040000000000003</v>
      </c>
      <c r="R38" s="30">
        <v>11.519532126182755</v>
      </c>
      <c r="S38" s="30">
        <f t="shared" si="14"/>
        <v>0.51392499071667286</v>
      </c>
      <c r="T38" s="30">
        <v>-2.3778314464964487</v>
      </c>
      <c r="U38" s="45">
        <f t="shared" si="15"/>
        <v>51.392499071667288</v>
      </c>
      <c r="V38" s="39">
        <f t="shared" si="16"/>
        <v>0.17913333333333337</v>
      </c>
      <c r="W38" s="46">
        <f t="shared" si="17"/>
        <v>0.10973333333333324</v>
      </c>
    </row>
    <row r="39">
      <c r="A39" s="42" t="s">
        <v>138</v>
      </c>
      <c r="B39" s="43">
        <v>2</v>
      </c>
      <c r="C39" s="126">
        <v>8.0099999999999998</v>
      </c>
      <c r="D39" s="30">
        <v>4.0038</v>
      </c>
      <c r="E39" s="30">
        <v>7.7538000000000009</v>
      </c>
      <c r="F39" s="30">
        <v>0.055800000000000016</v>
      </c>
      <c r="G39" s="30">
        <v>2.2140000000000004</v>
      </c>
      <c r="H39" s="30">
        <v>1.7898000000000001</v>
      </c>
      <c r="I39" s="30">
        <v>11.922979593482246</v>
      </c>
      <c r="J39" s="30">
        <f t="shared" si="12"/>
        <v>2.9779158782861899</v>
      </c>
      <c r="K39" s="30">
        <v>-2.429546017419014</v>
      </c>
      <c r="L39" s="72">
        <f t="shared" si="13"/>
        <v>44.702532594035667</v>
      </c>
      <c r="M39" s="30">
        <v>3.8142000000000009</v>
      </c>
      <c r="N39" s="30">
        <v>6.4008000000000012</v>
      </c>
      <c r="O39" s="30">
        <v>0.0258</v>
      </c>
      <c r="P39" s="30">
        <v>2.1426000000000003</v>
      </c>
      <c r="Q39" s="30">
        <v>1.6716000000000002</v>
      </c>
      <c r="R39" s="30">
        <v>11.834687725493342</v>
      </c>
      <c r="S39" s="30">
        <f t="shared" si="14"/>
        <v>0.43825703948403327</v>
      </c>
      <c r="T39" s="30">
        <v>-2.5264533022296178</v>
      </c>
      <c r="U39" s="45">
        <f t="shared" si="15"/>
        <v>43.82570394840333</v>
      </c>
      <c r="V39" s="39">
        <f t="shared" si="16"/>
        <v>-0.1895999999999991</v>
      </c>
      <c r="W39" s="46">
        <f t="shared" si="17"/>
        <v>-0.11819999999999986</v>
      </c>
    </row>
    <row r="40">
      <c r="A40" s="42" t="s">
        <v>138</v>
      </c>
      <c r="B40" s="43">
        <v>2</v>
      </c>
      <c r="C40" s="126">
        <v>8.0099999999999998</v>
      </c>
      <c r="D40" s="30">
        <v>1.8992</v>
      </c>
      <c r="E40" s="30">
        <v>3.7962000000000002</v>
      </c>
      <c r="F40" s="30">
        <v>0.016000000000000004</v>
      </c>
      <c r="G40" s="30">
        <v>0.97720000000000007</v>
      </c>
      <c r="H40" s="30">
        <v>0.92200000000000026</v>
      </c>
      <c r="I40" s="30">
        <v>11.720101318449299</v>
      </c>
      <c r="J40" s="30">
        <f t="shared" si="12"/>
        <v>6.1710727245415429</v>
      </c>
      <c r="K40" s="30">
        <v>-2.1769853478823009</v>
      </c>
      <c r="L40" s="72">
        <f t="shared" si="13"/>
        <v>48.546756529064879</v>
      </c>
      <c r="M40" s="30">
        <v>2.1708000000000007</v>
      </c>
      <c r="N40" s="30">
        <v>4.1664000000000012</v>
      </c>
      <c r="O40" s="30">
        <v>0.017399999999999999</v>
      </c>
      <c r="P40" s="30">
        <v>1.1160000000000001</v>
      </c>
      <c r="Q40" s="30">
        <v>1.0548</v>
      </c>
      <c r="R40" s="30">
        <v>11.795180825516885</v>
      </c>
      <c r="S40" s="30">
        <f t="shared" si="14"/>
        <v>0.48590381426202306</v>
      </c>
      <c r="T40" s="30">
        <v>-2.2218933766788642</v>
      </c>
      <c r="U40" s="45">
        <f t="shared" si="15"/>
        <v>48.590381426202306</v>
      </c>
      <c r="V40" s="39">
        <f t="shared" si="16"/>
        <v>0.27160000000000073</v>
      </c>
      <c r="W40" s="46">
        <f t="shared" si="17"/>
        <v>0.1327999999999997</v>
      </c>
    </row>
    <row r="41">
      <c r="A41" s="43" t="s">
        <v>139</v>
      </c>
      <c r="B41" s="43">
        <v>1</v>
      </c>
      <c r="C41" s="126">
        <v>8.0199999999999996</v>
      </c>
      <c r="D41" s="30">
        <v>2.0426666666666669</v>
      </c>
      <c r="E41" s="30">
        <v>3.9020000000000001</v>
      </c>
      <c r="F41" s="30">
        <v>0.04933333333333334</v>
      </c>
      <c r="G41" s="30">
        <v>1.1153333333333333</v>
      </c>
      <c r="H41" s="30">
        <v>0.92733333333333356</v>
      </c>
      <c r="I41" s="30">
        <v>11.797877215198509</v>
      </c>
      <c r="J41" s="30">
        <f t="shared" si="12"/>
        <v>5.7757231797642827</v>
      </c>
      <c r="K41" s="30">
        <v>-2.3091522006599394</v>
      </c>
      <c r="L41" s="72">
        <f t="shared" si="13"/>
        <v>45.398172323759802</v>
      </c>
      <c r="M41" s="30">
        <v>3.1600000000000006</v>
      </c>
      <c r="N41" s="30">
        <v>6.2860000000000005</v>
      </c>
      <c r="O41" s="30">
        <v>0.046666666666666676</v>
      </c>
      <c r="P41" s="30">
        <v>1.5893333333333333</v>
      </c>
      <c r="Q41" s="30">
        <v>1.5706666666666669</v>
      </c>
      <c r="R41" s="30">
        <v>12.234065521404824</v>
      </c>
      <c r="S41" s="30">
        <f t="shared" si="14"/>
        <v>0.49704641350210965</v>
      </c>
      <c r="T41" s="30">
        <v>-2.5842652408447631</v>
      </c>
      <c r="U41" s="45">
        <f t="shared" si="15"/>
        <v>49.704641350210963</v>
      </c>
      <c r="V41" s="39">
        <f t="shared" si="16"/>
        <v>1.1173333333333337</v>
      </c>
      <c r="W41" s="46">
        <f t="shared" si="17"/>
        <v>0.64333333333333331</v>
      </c>
    </row>
    <row r="42">
      <c r="A42" s="42" t="s">
        <v>138</v>
      </c>
      <c r="B42" s="43">
        <v>2</v>
      </c>
      <c r="C42" s="126">
        <v>8.0199999999999996</v>
      </c>
      <c r="D42" s="30">
        <v>2.7786</v>
      </c>
      <c r="E42" s="30">
        <v>4.8564000000000007</v>
      </c>
      <c r="F42" s="30">
        <v>0.014200000000000001</v>
      </c>
      <c r="G42" s="30">
        <v>1.7279999999999998</v>
      </c>
      <c r="H42" s="30">
        <v>1.0506000000000002</v>
      </c>
      <c r="I42" s="30">
        <v>11.410730024834441</v>
      </c>
      <c r="J42" s="30">
        <f t="shared" si="12"/>
        <v>4.1066472413569572</v>
      </c>
      <c r="K42" s="30">
        <v>-2.3361682581729104</v>
      </c>
      <c r="L42" s="72">
        <f t="shared" si="13"/>
        <v>37.810408119196723</v>
      </c>
      <c r="M42" s="30">
        <v>2.0740000000000003</v>
      </c>
      <c r="N42" s="30">
        <v>3.3140000000000001</v>
      </c>
      <c r="O42" s="30">
        <v>0.019333333333333334</v>
      </c>
      <c r="P42" s="30">
        <v>1.26</v>
      </c>
      <c r="Q42" s="30">
        <v>0.81400000000000006</v>
      </c>
      <c r="R42" s="30">
        <v>11.465714865905108</v>
      </c>
      <c r="S42" s="30">
        <f t="shared" si="14"/>
        <v>0.3924783027965284</v>
      </c>
      <c r="T42" s="30">
        <v>-2.367592036384992</v>
      </c>
      <c r="U42" s="45">
        <f t="shared" si="15"/>
        <v>39.247830279652838</v>
      </c>
      <c r="V42" s="39">
        <f t="shared" si="16"/>
        <v>-0.70459999999999967</v>
      </c>
      <c r="W42" s="46">
        <f t="shared" si="17"/>
        <v>-0.23660000000000014</v>
      </c>
    </row>
    <row r="43">
      <c r="A43" s="42" t="s">
        <v>138</v>
      </c>
      <c r="B43" s="43">
        <v>1</v>
      </c>
      <c r="C43" s="126">
        <v>8.0399999999999991</v>
      </c>
      <c r="D43" s="30">
        <v>0.98399999999999999</v>
      </c>
      <c r="E43" s="30">
        <v>1.9733333333333336</v>
      </c>
      <c r="F43" s="30">
        <v>0.0080000000000000002</v>
      </c>
      <c r="G43" s="30">
        <v>0.47733333333333339</v>
      </c>
      <c r="H43" s="30">
        <v>0.5066666666666666</v>
      </c>
      <c r="I43" s="30">
        <v>12.648504632069587</v>
      </c>
      <c r="J43" s="30">
        <f t="shared" si="12"/>
        <v>12.854171374054458</v>
      </c>
      <c r="K43" s="30">
        <v>-2.1517783435877673</v>
      </c>
      <c r="L43" s="72">
        <f t="shared" si="13"/>
        <v>51.490514905149041</v>
      </c>
      <c r="M43" s="30">
        <v>0.95624999999999993</v>
      </c>
      <c r="N43" s="30">
        <v>1.9027500000000002</v>
      </c>
      <c r="O43" s="30">
        <v>0.018750000000000003</v>
      </c>
      <c r="P43" s="30">
        <v>0.47399999999999998</v>
      </c>
      <c r="Q43" s="30">
        <v>0.48225000000000007</v>
      </c>
      <c r="R43" s="30">
        <v>13.275940777191689</v>
      </c>
      <c r="S43" s="30">
        <f t="shared" si="14"/>
        <v>0.50431372549019615</v>
      </c>
      <c r="T43" s="30">
        <v>-2.1140245732222853</v>
      </c>
      <c r="U43" s="45">
        <f t="shared" si="15"/>
        <v>50.431372549019613</v>
      </c>
      <c r="V43" s="39">
        <f t="shared" si="16"/>
        <v>-0.027750000000000052</v>
      </c>
      <c r="W43" s="46">
        <f t="shared" si="17"/>
        <v>-0.024416666666666531</v>
      </c>
    </row>
    <row r="44">
      <c r="A44" s="43" t="s">
        <v>139</v>
      </c>
      <c r="B44" s="43">
        <v>1</v>
      </c>
      <c r="C44" s="126">
        <v>8.0500000000000007</v>
      </c>
      <c r="D44" s="30">
        <v>5.6520000000000001</v>
      </c>
      <c r="E44" s="30">
        <v>11.972999999999999</v>
      </c>
      <c r="F44" s="30">
        <v>0.19950000000000001</v>
      </c>
      <c r="G44" s="30">
        <v>2.9662500000000005</v>
      </c>
      <c r="H44" s="30">
        <v>2.6857500000000001</v>
      </c>
      <c r="I44" s="30">
        <v>11.357699159222307</v>
      </c>
      <c r="J44" s="30">
        <f t="shared" si="12"/>
        <v>2.0095009128135715</v>
      </c>
      <c r="K44" s="30">
        <v>-2.9508346787824542</v>
      </c>
      <c r="L44" s="72">
        <f t="shared" si="13"/>
        <v>47.518577494692146</v>
      </c>
      <c r="M44" s="30">
        <v>5.8994999999999997</v>
      </c>
      <c r="N44" s="30">
        <v>10.866000000000001</v>
      </c>
      <c r="O44" s="30">
        <v>0.075000000000000011</v>
      </c>
      <c r="P44" s="30">
        <v>2.9580000000000002</v>
      </c>
      <c r="Q44" s="30">
        <v>2.9415</v>
      </c>
      <c r="R44" s="30">
        <v>11.840259619210341</v>
      </c>
      <c r="S44" s="30">
        <f t="shared" si="14"/>
        <v>0.49860157640478009</v>
      </c>
      <c r="T44" s="30">
        <v>-3.1698795720844792</v>
      </c>
      <c r="U44" s="45">
        <f t="shared" si="15"/>
        <v>49.860157640478008</v>
      </c>
      <c r="V44" s="39">
        <f t="shared" si="16"/>
        <v>0.24749999999999961</v>
      </c>
      <c r="W44" s="46">
        <f t="shared" si="17"/>
        <v>0.25574999999999992</v>
      </c>
    </row>
    <row r="45">
      <c r="A45" s="42" t="s">
        <v>138</v>
      </c>
      <c r="B45" s="43">
        <v>1</v>
      </c>
      <c r="C45" s="126">
        <v>8.0600000000000005</v>
      </c>
      <c r="D45" s="30">
        <v>2.4516000000000004</v>
      </c>
      <c r="E45" s="30">
        <v>5.1372000000000009</v>
      </c>
      <c r="F45" s="30">
        <v>0.0096000000000000009</v>
      </c>
      <c r="G45" s="30">
        <v>1.3428000000000002</v>
      </c>
      <c r="H45" s="30">
        <v>1.1088</v>
      </c>
      <c r="I45" s="30">
        <v>11.952523689169281</v>
      </c>
      <c r="J45" s="30">
        <f t="shared" si="12"/>
        <v>4.8753971647778096</v>
      </c>
      <c r="K45" s="30">
        <v>-2.294574532015679</v>
      </c>
      <c r="L45" s="72">
        <f t="shared" si="13"/>
        <v>45.22760646108663</v>
      </c>
      <c r="M45" s="30">
        <v>2.4186666666666667</v>
      </c>
      <c r="N45" s="30">
        <v>4.2906666666666666</v>
      </c>
      <c r="O45" s="30">
        <v>0.036666666666666674</v>
      </c>
      <c r="P45" s="30">
        <v>1.2766666666666668</v>
      </c>
      <c r="Q45" s="30">
        <v>1.1420000000000001</v>
      </c>
      <c r="R45" s="30">
        <v>12.002935420451152</v>
      </c>
      <c r="S45" s="30">
        <f t="shared" si="14"/>
        <v>0.47216097023153258</v>
      </c>
      <c r="T45" s="30">
        <v>-2.4875474789328877</v>
      </c>
      <c r="U45" s="45">
        <f t="shared" si="15"/>
        <v>47.21609702315326</v>
      </c>
      <c r="V45" s="39">
        <f t="shared" si="16"/>
        <v>-0.032933333333333703</v>
      </c>
      <c r="W45" s="46">
        <f t="shared" si="17"/>
        <v>0.033200000000000118</v>
      </c>
    </row>
    <row r="46">
      <c r="A46" s="42" t="s">
        <v>139</v>
      </c>
      <c r="B46" s="43">
        <v>2</v>
      </c>
      <c r="C46" s="119">
        <v>8.0800000000000001</v>
      </c>
      <c r="D46" s="30">
        <v>3.1100000000000008</v>
      </c>
      <c r="E46" s="30">
        <v>5.7614000000000001</v>
      </c>
      <c r="F46" s="30">
        <v>0.013000000000000001</v>
      </c>
      <c r="G46" s="30">
        <v>1.8200000000000003</v>
      </c>
      <c r="H46" s="30">
        <v>1.2900000000000003</v>
      </c>
      <c r="I46" s="30">
        <v>11.455092727918581</v>
      </c>
      <c r="J46" s="30">
        <f t="shared" si="12"/>
        <v>3.683309558816263</v>
      </c>
      <c r="K46" s="30">
        <v>-2.4132750855746119</v>
      </c>
      <c r="L46" s="72">
        <f t="shared" si="13"/>
        <v>41.479099678456585</v>
      </c>
      <c r="M46" s="30">
        <v>2.8644000000000003</v>
      </c>
      <c r="N46" s="30">
        <v>4.741200000000001</v>
      </c>
      <c r="O46" s="30">
        <v>0.016800000000000002</v>
      </c>
      <c r="P46" s="30">
        <v>1.6295999999999999</v>
      </c>
      <c r="Q46" s="30">
        <v>1.2348000000000001</v>
      </c>
      <c r="R46" s="30">
        <v>11.314738722955363</v>
      </c>
      <c r="S46" s="30">
        <f t="shared" si="14"/>
        <v>0.4310850439882698</v>
      </c>
      <c r="T46" s="30">
        <v>-2.3543334435457135</v>
      </c>
      <c r="U46" s="45">
        <f t="shared" si="15"/>
        <v>43.10850439882698</v>
      </c>
      <c r="V46" s="39">
        <f t="shared" si="16"/>
        <v>-0.24560000000000048</v>
      </c>
      <c r="W46" s="46">
        <f t="shared" si="17"/>
        <v>-0.055200000000000138</v>
      </c>
    </row>
    <row r="47">
      <c r="A47" s="42" t="s">
        <v>139</v>
      </c>
      <c r="B47" s="43">
        <v>1</v>
      </c>
      <c r="C47" s="119">
        <v>8.0800000000000001</v>
      </c>
      <c r="D47" s="30">
        <v>1.9463999999999999</v>
      </c>
      <c r="E47" s="30">
        <v>3.9990000000000001</v>
      </c>
      <c r="F47" s="30">
        <v>0.0060000000000000001</v>
      </c>
      <c r="G47" s="30">
        <v>1.0788</v>
      </c>
      <c r="H47" s="30">
        <v>0.86760000000000004</v>
      </c>
      <c r="I47" s="30">
        <v>10.015063579959428</v>
      </c>
      <c r="J47" s="30">
        <f t="shared" si="12"/>
        <v>5.1454292950880749</v>
      </c>
      <c r="K47" s="30">
        <v>-2.7153068308558423</v>
      </c>
      <c r="L47" s="72">
        <f t="shared" si="13"/>
        <v>44.574599260172633</v>
      </c>
      <c r="M47" s="30">
        <v>1.946</v>
      </c>
      <c r="N47" s="30">
        <v>4.2880000000000003</v>
      </c>
      <c r="O47" s="30">
        <v>0.025333333333333333</v>
      </c>
      <c r="P47" s="30">
        <v>0.96466666666666667</v>
      </c>
      <c r="Q47" s="30">
        <v>0.98133333333333339</v>
      </c>
      <c r="R47" s="30">
        <v>10.708475812825563</v>
      </c>
      <c r="S47" s="30">
        <f t="shared" si="14"/>
        <v>0.50428228845495038</v>
      </c>
      <c r="T47" s="30">
        <v>-2.4652335994643626</v>
      </c>
      <c r="U47" s="45">
        <f t="shared" si="15"/>
        <v>50.428228845495035</v>
      </c>
      <c r="V47" s="39">
        <f t="shared" si="16"/>
        <v>-0.00039999999999995595</v>
      </c>
      <c r="W47" s="46">
        <f t="shared" si="17"/>
        <v>0.11373333333333335</v>
      </c>
    </row>
    <row r="48">
      <c r="A48" s="42" t="s">
        <v>138</v>
      </c>
      <c r="B48" s="43">
        <v>1</v>
      </c>
      <c r="C48" s="126">
        <v>8.0800000000000001</v>
      </c>
      <c r="D48" s="30">
        <v>1.8514285714285716</v>
      </c>
      <c r="E48" s="30">
        <v>3.7234285714285713</v>
      </c>
      <c r="F48" s="30">
        <v>0.0085714285714285719</v>
      </c>
      <c r="G48" s="30">
        <v>1.0842857142857143</v>
      </c>
      <c r="H48" s="30">
        <v>0.76714285714285702</v>
      </c>
      <c r="I48" s="30">
        <v>11.691454018767692</v>
      </c>
      <c r="J48" s="30">
        <f t="shared" si="12"/>
        <v>6.3148285595195857</v>
      </c>
      <c r="K48" s="30">
        <v>-2.5406607568226387</v>
      </c>
      <c r="L48" s="72">
        <f t="shared" si="13"/>
        <v>41.435185185185176</v>
      </c>
      <c r="M48" s="30">
        <v>1.7058</v>
      </c>
      <c r="N48" s="30">
        <v>3.3894000000000006</v>
      </c>
      <c r="O48" s="30">
        <v>0.022800000000000001</v>
      </c>
      <c r="P48" s="30">
        <v>0.9174000000000001</v>
      </c>
      <c r="Q48" s="30">
        <v>0.78839999999999999</v>
      </c>
      <c r="R48" s="30">
        <v>11.974760489054907</v>
      </c>
      <c r="S48" s="30">
        <f t="shared" si="14"/>
        <v>0.46218782975729861</v>
      </c>
      <c r="T48" s="30">
        <v>-2.6152105846038003</v>
      </c>
      <c r="U48" s="45">
        <f t="shared" si="15"/>
        <v>46.218782975729859</v>
      </c>
      <c r="V48" s="39">
        <f t="shared" si="16"/>
        <v>-0.14562857142857166</v>
      </c>
      <c r="W48" s="46">
        <f t="shared" si="17"/>
        <v>0.021257142857142974</v>
      </c>
    </row>
    <row r="49">
      <c r="A49" s="42" t="s">
        <v>138</v>
      </c>
      <c r="B49" s="123">
        <v>2</v>
      </c>
      <c r="C49" s="122">
        <v>8.0899999999999999</v>
      </c>
      <c r="D49" s="30">
        <v>1.9692000000000001</v>
      </c>
      <c r="E49" s="30">
        <v>3.7472000000000003</v>
      </c>
      <c r="F49" s="30">
        <v>0.018200000000000001</v>
      </c>
      <c r="G49" s="30">
        <v>0.98659999999999992</v>
      </c>
      <c r="H49" s="30">
        <v>0.98260000000000003</v>
      </c>
      <c r="I49" s="30">
        <v>11.560313956085356</v>
      </c>
      <c r="J49" s="30">
        <f t="shared" si="12"/>
        <v>5.8705636583817569</v>
      </c>
      <c r="K49" s="30">
        <v>-2.3069157757802117</v>
      </c>
      <c r="L49" s="72">
        <f t="shared" si="13"/>
        <v>49.898435913061142</v>
      </c>
      <c r="M49" s="30">
        <v>1.9939999999999998</v>
      </c>
      <c r="N49" s="30">
        <v>3.9660000000000002</v>
      </c>
      <c r="O49" s="30">
        <v>0.020000000000000004</v>
      </c>
      <c r="P49" s="30">
        <v>1.0226666666666668</v>
      </c>
      <c r="Q49" s="30">
        <v>0.97133333333333338</v>
      </c>
      <c r="R49" s="30">
        <v>12.062224833617064</v>
      </c>
      <c r="S49" s="30">
        <f t="shared" si="14"/>
        <v>0.48712805081912414</v>
      </c>
      <c r="T49" s="30">
        <v>-2.3143951691260036</v>
      </c>
      <c r="U49" s="45">
        <f t="shared" si="15"/>
        <v>48.712805081912414</v>
      </c>
      <c r="V49" s="39">
        <f t="shared" si="16"/>
        <v>0.024799999999999711</v>
      </c>
      <c r="W49" s="46">
        <f t="shared" si="17"/>
        <v>-0.011266666666666647</v>
      </c>
    </row>
    <row r="50">
      <c r="A50" s="43" t="s">
        <v>139</v>
      </c>
      <c r="B50" s="43">
        <v>1</v>
      </c>
      <c r="C50" s="126">
        <v>8.0999999999999996</v>
      </c>
      <c r="D50" s="30">
        <v>4.1904000000000003</v>
      </c>
      <c r="E50" s="30">
        <v>8.3634000000000004</v>
      </c>
      <c r="F50" s="30">
        <v>0.036600000000000008</v>
      </c>
      <c r="G50" s="30">
        <v>2.6868000000000007</v>
      </c>
      <c r="H50" s="30">
        <v>1.5036</v>
      </c>
      <c r="I50" s="30">
        <v>11.199931047480742</v>
      </c>
      <c r="J50" s="30">
        <f t="shared" si="12"/>
        <v>2.6727594137745183</v>
      </c>
      <c r="K50" s="30">
        <v>-2.6138052386126733</v>
      </c>
      <c r="L50" s="72">
        <f t="shared" si="13"/>
        <v>35.882016036655209</v>
      </c>
      <c r="M50" s="30">
        <v>4.4326666666666661</v>
      </c>
      <c r="N50" s="30">
        <v>7.8846666666666669</v>
      </c>
      <c r="O50" s="30">
        <v>0.020000000000000004</v>
      </c>
      <c r="P50" s="30">
        <v>2.7486666666666673</v>
      </c>
      <c r="Q50" s="30">
        <v>1.6840000000000002</v>
      </c>
      <c r="R50" s="30">
        <v>11.664877362683415</v>
      </c>
      <c r="S50" s="30">
        <f t="shared" si="14"/>
        <v>0.37990675289517228</v>
      </c>
      <c r="T50" s="30">
        <v>-2.6104617486981572</v>
      </c>
      <c r="U50" s="45">
        <f t="shared" si="15"/>
        <v>37.990675289517227</v>
      </c>
      <c r="V50" s="39">
        <f t="shared" si="16"/>
        <v>0.24226666666666574</v>
      </c>
      <c r="W50" s="46">
        <f t="shared" si="17"/>
        <v>0.18040000000000012</v>
      </c>
    </row>
    <row r="51">
      <c r="A51" s="52" t="s">
        <v>138</v>
      </c>
      <c r="B51" s="43">
        <v>1</v>
      </c>
      <c r="C51" s="132">
        <v>9</v>
      </c>
      <c r="D51" s="30">
        <v>1.1879999999999999</v>
      </c>
      <c r="E51" s="30">
        <v>2.4912000000000001</v>
      </c>
      <c r="F51" s="30">
        <v>0.017999999999999999</v>
      </c>
      <c r="G51" s="30">
        <v>0.5928000000000001</v>
      </c>
      <c r="H51" s="30">
        <v>0.59520000000000006</v>
      </c>
      <c r="I51" s="30">
        <v>11.166752880931901</v>
      </c>
      <c r="J51" s="30">
        <f t="shared" si="12"/>
        <v>9.3996236371480641</v>
      </c>
      <c r="K51" s="30">
        <v>-2.186409498563807</v>
      </c>
      <c r="L51" s="72">
        <f t="shared" si="13"/>
        <v>50.101010101010111</v>
      </c>
      <c r="M51" s="30">
        <v>1.4802857142857146</v>
      </c>
      <c r="N51" s="30">
        <v>3.0334285714285718</v>
      </c>
      <c r="O51" s="30">
        <v>0.066857142857142865</v>
      </c>
      <c r="P51" s="30">
        <v>0.68914285714285717</v>
      </c>
      <c r="Q51" s="30">
        <v>0.79114285714285715</v>
      </c>
      <c r="R51" s="30">
        <v>11.175902643069817</v>
      </c>
      <c r="S51" s="30">
        <f t="shared" si="14"/>
        <v>0.53445280833815856</v>
      </c>
      <c r="T51" s="30">
        <v>-2.2710667860453535</v>
      </c>
      <c r="U51" s="45">
        <f t="shared" si="15"/>
        <v>53.445280833815858</v>
      </c>
      <c r="V51" s="39">
        <f t="shared" si="16"/>
        <v>0.2922857142857147</v>
      </c>
      <c r="W51" s="46">
        <f t="shared" si="17"/>
        <v>0.19594285714285709</v>
      </c>
    </row>
    <row r="52">
      <c r="A52" s="52" t="s">
        <v>138</v>
      </c>
      <c r="B52" s="43">
        <v>2</v>
      </c>
      <c r="C52" s="132">
        <v>9</v>
      </c>
      <c r="D52" s="30">
        <v>2.0031428571428571</v>
      </c>
      <c r="E52" s="30">
        <v>3.9480000000000008</v>
      </c>
      <c r="F52" s="30">
        <v>0.012</v>
      </c>
      <c r="G52" s="30">
        <v>1.044</v>
      </c>
      <c r="H52" s="30">
        <v>0.9591428571428573</v>
      </c>
      <c r="I52" s="30">
        <v>11.76868888901514</v>
      </c>
      <c r="J52" s="30">
        <f t="shared" si="12"/>
        <v>5.8751121254532865</v>
      </c>
      <c r="K52" s="30">
        <v>-2.4162216857092682</v>
      </c>
      <c r="L52" s="72">
        <f t="shared" si="13"/>
        <v>47.881899871630303</v>
      </c>
      <c r="M52" s="30">
        <v>2.076857142857143</v>
      </c>
      <c r="N52" s="30">
        <v>3.8185714285714285</v>
      </c>
      <c r="O52" s="30">
        <v>0.014571428571428572</v>
      </c>
      <c r="P52" s="30">
        <v>1.1674285714285715</v>
      </c>
      <c r="Q52" s="30">
        <v>0.90942857142857148</v>
      </c>
      <c r="R52" s="30">
        <v>11.418509134877954</v>
      </c>
      <c r="S52" s="30">
        <f t="shared" si="14"/>
        <v>0.43788691704498556</v>
      </c>
      <c r="T52" s="30">
        <v>-2.5102388100666428</v>
      </c>
      <c r="U52" s="45">
        <f t="shared" si="15"/>
        <v>43.788691704498554</v>
      </c>
      <c r="V52" s="39">
        <f t="shared" si="16"/>
        <v>0.073714285714285843</v>
      </c>
      <c r="W52" s="46">
        <f t="shared" si="17"/>
        <v>-0.049714285714285822</v>
      </c>
    </row>
    <row r="53">
      <c r="A53" s="42" t="s">
        <v>139</v>
      </c>
      <c r="B53" s="43">
        <v>1</v>
      </c>
      <c r="C53" s="119">
        <v>9</v>
      </c>
      <c r="D53" s="30">
        <v>1.3637142857142859</v>
      </c>
      <c r="E53" s="30">
        <v>2.3305714285714285</v>
      </c>
      <c r="F53" s="30">
        <v>0.0051428571428571435</v>
      </c>
      <c r="G53" s="30">
        <v>0.83828571428571419</v>
      </c>
      <c r="H53" s="30">
        <v>0.52542857142857147</v>
      </c>
      <c r="I53" s="30">
        <v>11.663961764863476</v>
      </c>
      <c r="J53" s="30">
        <f t="shared" si="12"/>
        <v>8.5530832132876942</v>
      </c>
      <c r="K53" s="30">
        <v>-2.3048496043047138</v>
      </c>
      <c r="L53" s="72">
        <f t="shared" si="13"/>
        <v>38.529226901319923</v>
      </c>
      <c r="M53" s="30">
        <v>0.65475000000000005</v>
      </c>
      <c r="N53" s="30">
        <v>1.3672500000000003</v>
      </c>
      <c r="O53" s="30">
        <v>0.0044999999999999997</v>
      </c>
      <c r="P53" s="30">
        <v>0.35625000000000001</v>
      </c>
      <c r="Q53" s="30">
        <v>0.29849999999999999</v>
      </c>
      <c r="R53" s="30">
        <v>10.812232940736195</v>
      </c>
      <c r="S53" s="30">
        <f t="shared" si="14"/>
        <v>0.45589919816723934</v>
      </c>
      <c r="T53" s="30">
        <v>-2.0845671150079403</v>
      </c>
      <c r="U53" s="45">
        <f t="shared" si="15"/>
        <v>45.589919816723935</v>
      </c>
      <c r="V53" s="39">
        <f t="shared" si="16"/>
        <v>-0.70896428571428582</v>
      </c>
      <c r="W53" s="46">
        <f t="shared" si="17"/>
        <v>-0.22692857142857148</v>
      </c>
    </row>
    <row r="54">
      <c r="A54" s="42" t="s">
        <v>138</v>
      </c>
      <c r="B54" s="43">
        <v>2</v>
      </c>
      <c r="C54" s="126">
        <v>9</v>
      </c>
      <c r="D54" s="30">
        <v>1.5456000000000001</v>
      </c>
      <c r="E54" s="30">
        <v>2.9664000000000001</v>
      </c>
      <c r="F54" s="30">
        <v>0.0024000000000000002</v>
      </c>
      <c r="G54" s="30">
        <v>0.8358000000000001</v>
      </c>
      <c r="H54" s="30">
        <v>0.7098000000000001</v>
      </c>
      <c r="I54" s="30">
        <v>11.398579542043553</v>
      </c>
      <c r="J54" s="30">
        <f t="shared" si="12"/>
        <v>7.374857364158613</v>
      </c>
      <c r="K54" s="30">
        <v>-2.5044803535084061</v>
      </c>
      <c r="L54" s="72">
        <f t="shared" si="13"/>
        <v>45.923913043478265</v>
      </c>
      <c r="M54" s="30">
        <v>1.6194</v>
      </c>
      <c r="N54" s="30">
        <v>2.9472</v>
      </c>
      <c r="O54" s="30">
        <v>0.014400000000000001</v>
      </c>
      <c r="P54" s="30">
        <v>0.88139999999999996</v>
      </c>
      <c r="Q54" s="30">
        <v>0.7380000000000001</v>
      </c>
      <c r="R54" s="30">
        <v>11.137084284751968</v>
      </c>
      <c r="S54" s="30">
        <f t="shared" si="14"/>
        <v>0.45572434234901821</v>
      </c>
      <c r="T54" s="30">
        <v>-2.444564037033409</v>
      </c>
      <c r="U54" s="45">
        <f t="shared" si="15"/>
        <v>45.57243423490182</v>
      </c>
      <c r="V54" s="39">
        <f t="shared" si="16"/>
        <v>0.073799999999999866</v>
      </c>
      <c r="W54" s="46">
        <f t="shared" si="17"/>
        <v>0.028200000000000003</v>
      </c>
    </row>
    <row r="55">
      <c r="A55" s="42" t="s">
        <v>138</v>
      </c>
      <c r="B55" s="121">
        <v>1</v>
      </c>
      <c r="C55" s="122">
        <v>9</v>
      </c>
      <c r="D55" s="30">
        <v>0.96419999999999972</v>
      </c>
      <c r="E55" s="30">
        <v>2.1444000000000001</v>
      </c>
      <c r="F55" s="30">
        <v>0.0246</v>
      </c>
      <c r="G55" s="30">
        <v>0.49379999999999996</v>
      </c>
      <c r="H55" s="30">
        <v>0.47039999999999998</v>
      </c>
      <c r="I55" s="30">
        <v>11.531667930517445</v>
      </c>
      <c r="J55" s="30">
        <f t="shared" si="12"/>
        <v>11.959829838744501</v>
      </c>
      <c r="K55" s="30">
        <v>-2.2076246911078083</v>
      </c>
      <c r="L55" s="72">
        <f t="shared" si="13"/>
        <v>48.786558805227145</v>
      </c>
      <c r="M55" s="30">
        <v>1.0200000000000002</v>
      </c>
      <c r="N55" s="30">
        <v>2.2926666666666669</v>
      </c>
      <c r="O55" s="30">
        <v>0.014666666666666668</v>
      </c>
      <c r="P55" s="30">
        <v>0.51866666666666683</v>
      </c>
      <c r="Q55" s="30">
        <v>0.50133333333333341</v>
      </c>
      <c r="R55" s="30">
        <v>11.99934652668825</v>
      </c>
      <c r="S55" s="30">
        <f t="shared" si="14"/>
        <v>0.49150326797385618</v>
      </c>
      <c r="T55" s="30">
        <v>-2.29006913957154</v>
      </c>
      <c r="U55" s="45">
        <f t="shared" si="15"/>
        <v>49.150326797385617</v>
      </c>
      <c r="V55" s="39">
        <f t="shared" si="16"/>
        <v>0.055800000000000516</v>
      </c>
      <c r="W55" s="46">
        <f t="shared" si="17"/>
        <v>0.030933333333333424</v>
      </c>
    </row>
    <row r="56">
      <c r="A56" s="43" t="s">
        <v>139</v>
      </c>
      <c r="B56" s="43">
        <v>1</v>
      </c>
      <c r="C56" s="126">
        <v>9.0099999999999998</v>
      </c>
      <c r="D56" s="30">
        <v>2.3844000000000003</v>
      </c>
      <c r="E56" s="30">
        <v>4.8222000000000005</v>
      </c>
      <c r="F56" s="30">
        <v>0.019800000000000002</v>
      </c>
      <c r="G56" s="30">
        <v>1.4268000000000001</v>
      </c>
      <c r="H56" s="30">
        <v>0.9575999999999999</v>
      </c>
      <c r="I56" s="30">
        <v>11.554740156009396</v>
      </c>
      <c r="J56" s="30">
        <f t="shared" si="12"/>
        <v>4.8459738953235174</v>
      </c>
      <c r="K56" s="30">
        <v>-1.9765273682675066</v>
      </c>
      <c r="L56" s="72">
        <f t="shared" si="13"/>
        <v>40.161046804227468</v>
      </c>
      <c r="M56" s="30">
        <v>2.5632000000000006</v>
      </c>
      <c r="N56" s="30">
        <v>4.952399999999999</v>
      </c>
      <c r="O56" s="30">
        <v>0.0252</v>
      </c>
      <c r="P56" s="30">
        <v>1.5012000000000003</v>
      </c>
      <c r="Q56" s="30">
        <v>1.0619999999999998</v>
      </c>
      <c r="R56" s="30">
        <v>11.859818553703764</v>
      </c>
      <c r="S56" s="30">
        <f t="shared" si="14"/>
        <v>0.41432584269662903</v>
      </c>
      <c r="T56" s="30">
        <v>-2.1181303386309693</v>
      </c>
      <c r="U56" s="45">
        <f t="shared" si="15"/>
        <v>41.432584269662904</v>
      </c>
      <c r="V56" s="39">
        <f t="shared" si="16"/>
        <v>0.17880000000000029</v>
      </c>
      <c r="W56" s="46">
        <f t="shared" si="17"/>
        <v>0.10439999999999994</v>
      </c>
    </row>
    <row r="57">
      <c r="A57" s="62" t="s">
        <v>138</v>
      </c>
      <c r="B57" s="62">
        <v>2</v>
      </c>
      <c r="C57" s="133">
        <v>9.0099999999999998</v>
      </c>
      <c r="D57" s="30">
        <v>2.9740000000000006</v>
      </c>
      <c r="E57" s="30">
        <v>6.4219999999999997</v>
      </c>
      <c r="F57" s="30">
        <v>0.02066666666666667</v>
      </c>
      <c r="G57" s="30">
        <v>1.7013333333333334</v>
      </c>
      <c r="H57" s="30">
        <v>1.2726666666666668</v>
      </c>
      <c r="I57" s="30">
        <v>11.381606966448283</v>
      </c>
      <c r="J57" s="30">
        <f t="shared" si="12"/>
        <v>3.8270366396934365</v>
      </c>
      <c r="K57" s="30">
        <v>-2.6464575110824149</v>
      </c>
      <c r="L57" s="72">
        <f t="shared" si="13"/>
        <v>42.793095718448775</v>
      </c>
      <c r="M57" s="30">
        <v>3.1133333333333337</v>
      </c>
      <c r="N57" s="30">
        <v>5.4413333333333345</v>
      </c>
      <c r="O57" s="30">
        <v>0.039333333333333338</v>
      </c>
      <c r="P57" s="30">
        <v>1.6373333333333333</v>
      </c>
      <c r="Q57" s="30">
        <v>1.476</v>
      </c>
      <c r="R57" s="30">
        <v>11.6046020645881</v>
      </c>
      <c r="S57" s="30">
        <f t="shared" si="14"/>
        <v>0.47408993576017122</v>
      </c>
      <c r="T57" s="30">
        <v>-2.6538483321702389</v>
      </c>
      <c r="U57" s="45">
        <f t="shared" si="15"/>
        <v>47.408993576017124</v>
      </c>
      <c r="V57" s="39">
        <f t="shared" si="16"/>
        <v>0.13933333333333309</v>
      </c>
      <c r="W57" s="46">
        <f t="shared" si="17"/>
        <v>0.20333333333333314</v>
      </c>
    </row>
    <row r="58">
      <c r="A58" s="42" t="s">
        <v>138</v>
      </c>
      <c r="B58" s="43">
        <v>1</v>
      </c>
      <c r="C58" s="126">
        <v>9.0099999999999998</v>
      </c>
      <c r="D58" s="30">
        <v>2.2698</v>
      </c>
      <c r="E58" s="30">
        <v>4.9733999999999998</v>
      </c>
      <c r="F58" s="30">
        <v>0.23219999999999996</v>
      </c>
      <c r="G58" s="30">
        <v>1.1994</v>
      </c>
      <c r="H58" s="30">
        <v>1.0703999999999998</v>
      </c>
      <c r="I58" s="30">
        <v>11.224600588918634</v>
      </c>
      <c r="J58" s="30">
        <f t="shared" si="12"/>
        <v>4.9451936685693161</v>
      </c>
      <c r="K58" s="30">
        <v>-2.4757465205022595</v>
      </c>
      <c r="L58" s="72">
        <f t="shared" si="13"/>
        <v>47.158339941845085</v>
      </c>
      <c r="M58" s="30">
        <v>2.8666666666666671</v>
      </c>
      <c r="N58" s="30">
        <v>5.0966666666666676</v>
      </c>
      <c r="O58" s="30">
        <v>0.036666666666666674</v>
      </c>
      <c r="P58" s="30">
        <v>1.5140000000000002</v>
      </c>
      <c r="Q58" s="30">
        <v>1.3526666666666669</v>
      </c>
      <c r="R58" s="30">
        <v>11.880255449492635</v>
      </c>
      <c r="S58" s="30">
        <f t="shared" si="14"/>
        <v>0.47186046511627905</v>
      </c>
      <c r="T58" s="30">
        <v>-2.5714603748889049</v>
      </c>
      <c r="U58" s="45">
        <f t="shared" si="15"/>
        <v>47.186046511627907</v>
      </c>
      <c r="V58" s="39">
        <f t="shared" si="16"/>
        <v>0.5968666666666671</v>
      </c>
      <c r="W58" s="46">
        <f t="shared" si="17"/>
        <v>0.28226666666666711</v>
      </c>
    </row>
    <row r="59">
      <c r="A59" s="42" t="s">
        <v>139</v>
      </c>
      <c r="B59" s="43">
        <v>2</v>
      </c>
      <c r="C59" s="119">
        <v>9.0199999999999996</v>
      </c>
      <c r="D59" s="30">
        <v>2.2753333333333337</v>
      </c>
      <c r="E59" s="30">
        <v>4.4640000000000004</v>
      </c>
      <c r="F59" s="30">
        <v>0.013333333333333334</v>
      </c>
      <c r="G59" s="30">
        <v>1.1806666666666668</v>
      </c>
      <c r="H59" s="30">
        <v>1.0946666666666667</v>
      </c>
      <c r="I59" s="30">
        <v>11.440091778006298</v>
      </c>
      <c r="J59" s="30">
        <f t="shared" si="12"/>
        <v>5.027875085557997</v>
      </c>
      <c r="K59" s="30">
        <v>-2.624555989812384</v>
      </c>
      <c r="L59" s="72">
        <f t="shared" si="13"/>
        <v>48.110167008496916</v>
      </c>
      <c r="M59" s="30">
        <v>1.8006</v>
      </c>
      <c r="N59" s="30">
        <v>3.1404000000000001</v>
      </c>
      <c r="O59" s="30">
        <v>0.012600000000000004</v>
      </c>
      <c r="P59" s="30">
        <v>0.95940000000000014</v>
      </c>
      <c r="Q59" s="30">
        <v>0.84119999999999995</v>
      </c>
      <c r="R59" s="30">
        <v>11.375614965340308</v>
      </c>
      <c r="S59" s="30">
        <f t="shared" si="14"/>
        <v>0.46717760746417858</v>
      </c>
      <c r="T59" s="30">
        <v>-2.637239484428668</v>
      </c>
      <c r="U59" s="45">
        <f t="shared" si="15"/>
        <v>46.717760746417859</v>
      </c>
      <c r="V59" s="39">
        <f t="shared" si="16"/>
        <v>-0.47473333333333367</v>
      </c>
      <c r="W59" s="46">
        <f t="shared" si="17"/>
        <v>-0.25346666666666673</v>
      </c>
    </row>
    <row r="60">
      <c r="A60" s="42" t="s">
        <v>138</v>
      </c>
      <c r="B60" s="43">
        <v>1</v>
      </c>
      <c r="C60" s="126">
        <v>9.0199999999999996</v>
      </c>
      <c r="D60" s="30">
        <v>3.0941999999999998</v>
      </c>
      <c r="E60" s="30">
        <v>6.6270000000000007</v>
      </c>
      <c r="F60" s="30">
        <v>0.0132</v>
      </c>
      <c r="G60" s="30">
        <v>1.4478000000000002</v>
      </c>
      <c r="H60" s="30">
        <v>1.6464000000000003</v>
      </c>
      <c r="I60" s="30">
        <v>11.942848857128245</v>
      </c>
      <c r="J60" s="30">
        <f t="shared" si="12"/>
        <v>3.8597533634310146</v>
      </c>
      <c r="K60" s="30">
        <v>-2.7256171067020762</v>
      </c>
      <c r="L60" s="72">
        <f t="shared" si="13"/>
        <v>53.209230172580966</v>
      </c>
      <c r="M60" s="30">
        <v>2.7132000000000001</v>
      </c>
      <c r="N60" s="30">
        <v>4.6638000000000002</v>
      </c>
      <c r="O60" s="30">
        <v>0.019800000000000002</v>
      </c>
      <c r="P60" s="30">
        <v>1.4028</v>
      </c>
      <c r="Q60" s="30">
        <v>1.3104</v>
      </c>
      <c r="R60" s="30">
        <v>11.895264226797199</v>
      </c>
      <c r="S60" s="30">
        <f t="shared" si="14"/>
        <v>0.48297213622291019</v>
      </c>
      <c r="T60" s="30">
        <v>-2.7901679392184398</v>
      </c>
      <c r="U60" s="45">
        <f t="shared" si="15"/>
        <v>48.297213622291018</v>
      </c>
      <c r="V60" s="39">
        <f t="shared" si="16"/>
        <v>-0.38099999999999978</v>
      </c>
      <c r="W60" s="46">
        <f t="shared" si="17"/>
        <v>-0.3360000000000003</v>
      </c>
    </row>
    <row r="61">
      <c r="A61" s="42" t="s">
        <v>138</v>
      </c>
      <c r="B61" s="43">
        <v>1</v>
      </c>
      <c r="C61" s="126">
        <v>9.0299999999999994</v>
      </c>
      <c r="D61" s="30">
        <v>1.1778</v>
      </c>
      <c r="E61" s="30">
        <v>2.5284000000000004</v>
      </c>
      <c r="F61" s="30">
        <v>0.0054000000000000003</v>
      </c>
      <c r="G61" s="30">
        <v>0.62580000000000013</v>
      </c>
      <c r="H61" s="30">
        <v>0.55200000000000016</v>
      </c>
      <c r="I61" s="30">
        <v>11.669665018989704</v>
      </c>
      <c r="J61" s="30">
        <f t="shared" si="12"/>
        <v>9.9080192044402313</v>
      </c>
      <c r="K61" s="30">
        <v>-2.2023224231569665</v>
      </c>
      <c r="L61" s="72">
        <f t="shared" si="13"/>
        <v>46.867040244523707</v>
      </c>
      <c r="M61" s="30">
        <v>1.1814000000000002</v>
      </c>
      <c r="N61" s="30">
        <v>2.3075999999999999</v>
      </c>
      <c r="O61" s="30">
        <v>0.018000000000000002</v>
      </c>
      <c r="P61" s="30">
        <v>0.61140000000000005</v>
      </c>
      <c r="Q61" s="30">
        <v>0.57000000000000006</v>
      </c>
      <c r="R61" s="30">
        <v>11.8333682741529</v>
      </c>
      <c r="S61" s="30">
        <f t="shared" si="14"/>
        <v>0.48247841543930925</v>
      </c>
      <c r="T61" s="30">
        <v>-2.2626728503116054</v>
      </c>
      <c r="U61" s="45">
        <f t="shared" si="15"/>
        <v>48.247841543930925</v>
      </c>
      <c r="V61" s="39">
        <f t="shared" si="16"/>
        <v>0.0036000000000002697</v>
      </c>
      <c r="W61" s="46">
        <f t="shared" si="17"/>
        <v>0.017999999999999905</v>
      </c>
    </row>
    <row r="62">
      <c r="A62" s="43" t="s">
        <v>139</v>
      </c>
      <c r="B62" s="43">
        <v>1</v>
      </c>
      <c r="C62" s="126">
        <v>9.0399999999999991</v>
      </c>
      <c r="D62" s="30">
        <v>2.2925999999999997</v>
      </c>
      <c r="E62" s="30">
        <v>5.2128000000000005</v>
      </c>
      <c r="F62" s="30">
        <v>0.015599999999999999</v>
      </c>
      <c r="G62" s="30">
        <v>1.2018</v>
      </c>
      <c r="H62" s="30">
        <v>1.0908</v>
      </c>
      <c r="I62" s="30">
        <v>11.968570221479684</v>
      </c>
      <c r="J62" s="30">
        <f t="shared" si="12"/>
        <v>5.2205226474220039</v>
      </c>
      <c r="K62" s="30">
        <v>-2.4787832442259705</v>
      </c>
      <c r="L62" s="72">
        <f t="shared" si="13"/>
        <v>47.579167757131643</v>
      </c>
      <c r="M62" s="30">
        <v>2.2854000000000001</v>
      </c>
      <c r="N62" s="30">
        <v>4.7513999999999994</v>
      </c>
      <c r="O62" s="30">
        <v>0.022200000000000004</v>
      </c>
      <c r="P62" s="30">
        <v>1.1981999999999999</v>
      </c>
      <c r="Q62" s="30">
        <v>1.0872000000000002</v>
      </c>
      <c r="R62" s="30">
        <v>12.047141648980517</v>
      </c>
      <c r="S62" s="30">
        <f t="shared" si="14"/>
        <v>0.47571541086899455</v>
      </c>
      <c r="T62" s="30">
        <v>-2.5501145810041739</v>
      </c>
      <c r="U62" s="45">
        <f t="shared" si="15"/>
        <v>47.571541086899458</v>
      </c>
      <c r="V62" s="39">
        <f t="shared" si="16"/>
        <v>-0.0071999999999996511</v>
      </c>
      <c r="W62" s="46">
        <f t="shared" si="17"/>
        <v>-0.0035999999999998256</v>
      </c>
    </row>
    <row r="63">
      <c r="A63" s="43" t="s">
        <v>139</v>
      </c>
      <c r="B63" s="43">
        <v>1</v>
      </c>
      <c r="C63" s="126">
        <v>9.0600000000000005</v>
      </c>
      <c r="D63" s="30">
        <v>4.0590000000000002</v>
      </c>
      <c r="E63" s="30">
        <v>8.3033999999999999</v>
      </c>
      <c r="F63" s="30">
        <v>0.020400000000000001</v>
      </c>
      <c r="G63" s="30">
        <v>2.2673999999999999</v>
      </c>
      <c r="H63" s="30">
        <v>1.7916000000000001</v>
      </c>
      <c r="I63" s="30">
        <v>11.576739208050759</v>
      </c>
      <c r="J63" s="30">
        <f t="shared" si="12"/>
        <v>2.8521160896897655</v>
      </c>
      <c r="K63" s="30">
        <v>-2.4006228154423357</v>
      </c>
      <c r="L63" s="72">
        <f t="shared" si="13"/>
        <v>44.138950480413897</v>
      </c>
      <c r="M63" s="30">
        <v>3.9119999999999999</v>
      </c>
      <c r="N63" s="30">
        <v>7.5862500000000006</v>
      </c>
      <c r="O63" s="30">
        <v>0.035250000000000004</v>
      </c>
      <c r="P63" s="30">
        <v>2.4277500000000001</v>
      </c>
      <c r="Q63" s="30">
        <v>1.4842499999999998</v>
      </c>
      <c r="R63" s="30">
        <v>11.764822561866243</v>
      </c>
      <c r="S63" s="30">
        <f t="shared" si="14"/>
        <v>0.37940950920245398</v>
      </c>
      <c r="T63" s="30">
        <v>-2.3981432196139751</v>
      </c>
      <c r="U63" s="45">
        <f t="shared" si="15"/>
        <v>37.940950920245399</v>
      </c>
      <c r="V63" s="39">
        <f t="shared" si="16"/>
        <v>-0.14700000000000024</v>
      </c>
      <c r="W63" s="46">
        <f t="shared" si="17"/>
        <v>-0.30735000000000023</v>
      </c>
    </row>
    <row r="64">
      <c r="A64" s="42" t="s">
        <v>138</v>
      </c>
      <c r="B64" s="43">
        <v>1</v>
      </c>
      <c r="C64" s="126">
        <v>9.0600000000000005</v>
      </c>
      <c r="D64" s="30">
        <v>5.4517500000000005</v>
      </c>
      <c r="E64" s="30">
        <v>10.40475</v>
      </c>
      <c r="F64" s="30">
        <v>0.09375</v>
      </c>
      <c r="G64" s="30">
        <v>3.2025000000000001</v>
      </c>
      <c r="H64" s="30">
        <v>2.2492500000000004</v>
      </c>
      <c r="I64" s="30">
        <v>12.156940248821721</v>
      </c>
      <c r="J64" s="30">
        <f t="shared" si="12"/>
        <v>2.2299152104960278</v>
      </c>
      <c r="K64" s="30">
        <v>-2.8703183706417508</v>
      </c>
      <c r="L64" s="72">
        <f t="shared" si="13"/>
        <v>41.257394414637503</v>
      </c>
      <c r="M64" s="30">
        <v>6.2467500000000005</v>
      </c>
      <c r="N64" s="30">
        <v>11.512500000000001</v>
      </c>
      <c r="O64" s="30">
        <v>0.16950000000000001</v>
      </c>
      <c r="P64" s="30">
        <v>3.38775</v>
      </c>
      <c r="Q64" s="30">
        <v>2.8590000000000004</v>
      </c>
      <c r="R64" s="30">
        <v>12.670213134455212</v>
      </c>
      <c r="S64" s="30">
        <f t="shared" si="14"/>
        <v>0.45767799255612923</v>
      </c>
      <c r="T64" s="30">
        <v>-3.0688876476955493</v>
      </c>
      <c r="U64" s="45">
        <f t="shared" si="15"/>
        <v>45.767799255612921</v>
      </c>
      <c r="V64" s="39">
        <f t="shared" si="16"/>
        <v>0.79499999999999993</v>
      </c>
      <c r="W64" s="46">
        <f t="shared" si="17"/>
        <v>0.60975000000000001</v>
      </c>
    </row>
    <row r="65">
      <c r="A65" s="43" t="s">
        <v>139</v>
      </c>
      <c r="B65" s="43">
        <v>1</v>
      </c>
      <c r="C65" s="126">
        <v>9.0800000000000001</v>
      </c>
      <c r="D65" s="30">
        <v>1.6884000000000001</v>
      </c>
      <c r="E65" s="30">
        <v>3.3522000000000007</v>
      </c>
      <c r="F65" s="30">
        <v>0.014400000000000001</v>
      </c>
      <c r="G65" s="30">
        <v>0.91859999999999997</v>
      </c>
      <c r="H65" s="30">
        <v>0.76980000000000004</v>
      </c>
      <c r="I65" s="30">
        <v>11.858897552482343</v>
      </c>
      <c r="J65" s="30">
        <f t="shared" si="12"/>
        <v>7.0237488465306459</v>
      </c>
      <c r="K65" s="30">
        <v>-2.1816642594611801</v>
      </c>
      <c r="L65" s="72">
        <f t="shared" si="13"/>
        <v>45.593461265103052</v>
      </c>
      <c r="M65" s="30">
        <v>1.8102</v>
      </c>
      <c r="N65" s="30">
        <v>3.6911999999999998</v>
      </c>
      <c r="O65" s="30">
        <v>0.015600000000000003</v>
      </c>
      <c r="P65" s="30">
        <v>0.94920000000000004</v>
      </c>
      <c r="Q65" s="30">
        <v>0.8610000000000001</v>
      </c>
      <c r="R65" s="30">
        <v>12.102608246966682</v>
      </c>
      <c r="S65" s="30">
        <f t="shared" si="14"/>
        <v>0.47563805104408358</v>
      </c>
      <c r="T65" s="30">
        <v>-2.4026242247322558</v>
      </c>
      <c r="U65" s="45">
        <f t="shared" si="15"/>
        <v>47.56380510440836</v>
      </c>
      <c r="V65" s="39">
        <f t="shared" si="16"/>
        <v>0.12179999999999991</v>
      </c>
      <c r="W65" s="46">
        <f t="shared" si="17"/>
        <v>0.091200000000000059</v>
      </c>
    </row>
    <row r="66">
      <c r="A66" s="43" t="s">
        <v>139</v>
      </c>
      <c r="B66" s="43">
        <v>1</v>
      </c>
      <c r="C66" s="126">
        <v>9.0800000000000001</v>
      </c>
      <c r="D66" s="30">
        <v>1.9578</v>
      </c>
      <c r="E66" s="30">
        <v>3.7974000000000006</v>
      </c>
      <c r="F66" s="30">
        <v>0.015599999999999999</v>
      </c>
      <c r="G66" s="30">
        <v>1.0229999999999999</v>
      </c>
      <c r="H66" s="30">
        <v>0.93479999999999985</v>
      </c>
      <c r="I66" s="30">
        <v>11.433650247406941</v>
      </c>
      <c r="J66" s="30">
        <f t="shared" si="12"/>
        <v>5.8400501825553892</v>
      </c>
      <c r="K66" s="30">
        <v>-2.1507514620866663</v>
      </c>
      <c r="L66" s="72">
        <f t="shared" si="13"/>
        <v>47.74747165185412</v>
      </c>
      <c r="M66" s="30">
        <v>2.3928000000000003</v>
      </c>
      <c r="N66" s="30">
        <v>4.1952000000000007</v>
      </c>
      <c r="O66" s="30">
        <v>0.018600000000000002</v>
      </c>
      <c r="P66" s="30">
        <v>1.2989999999999999</v>
      </c>
      <c r="Q66" s="30">
        <v>1.0937999999999999</v>
      </c>
      <c r="R66" s="30">
        <v>11.577500976621604</v>
      </c>
      <c r="S66" s="30">
        <f t="shared" si="14"/>
        <v>0.45712136409227672</v>
      </c>
      <c r="T66" s="30">
        <v>-2.3601245608915749</v>
      </c>
      <c r="U66" s="45">
        <f t="shared" si="15"/>
        <v>45.712136409227675</v>
      </c>
      <c r="V66" s="39">
        <f t="shared" si="16"/>
        <v>0.43500000000000028</v>
      </c>
      <c r="W66" s="46">
        <f t="shared" si="17"/>
        <v>0.15900000000000003</v>
      </c>
    </row>
    <row r="67" ht="15">
      <c r="A67" s="64" t="s">
        <v>139</v>
      </c>
      <c r="B67" s="65">
        <v>1</v>
      </c>
      <c r="C67" s="135">
        <v>9.0800000000000001</v>
      </c>
      <c r="D67" s="67">
        <v>3.2214</v>
      </c>
      <c r="E67" s="67">
        <v>6.6353999999999997</v>
      </c>
      <c r="F67" s="67">
        <v>0.0132</v>
      </c>
      <c r="G67" s="67">
        <v>1.7664000000000002</v>
      </c>
      <c r="H67" s="67">
        <v>1.4550000000000001</v>
      </c>
      <c r="I67" s="67">
        <v>11.710957544543188</v>
      </c>
      <c r="J67" s="30">
        <f t="shared" si="12"/>
        <v>3.6353627443171255</v>
      </c>
      <c r="K67" s="67">
        <v>-2.5579789104007529</v>
      </c>
      <c r="L67" s="73">
        <f t="shared" si="13"/>
        <v>45.16669770907059</v>
      </c>
      <c r="M67" s="67">
        <v>3.0432000000000001</v>
      </c>
      <c r="N67" s="67">
        <v>6.0167999999999999</v>
      </c>
      <c r="O67" s="67">
        <v>0.047400000000000012</v>
      </c>
      <c r="P67" s="67">
        <v>1.6434000000000002</v>
      </c>
      <c r="Q67" s="67">
        <v>1.3997999999999999</v>
      </c>
      <c r="R67" s="67">
        <v>11.604547975993725</v>
      </c>
      <c r="S67" s="30">
        <f t="shared" si="14"/>
        <v>0.45997634069400628</v>
      </c>
      <c r="T67" s="67">
        <v>-2.5890106688311354</v>
      </c>
      <c r="U67" s="70">
        <f t="shared" si="15"/>
        <v>45.997634069400625</v>
      </c>
      <c r="V67" s="89">
        <f t="shared" si="16"/>
        <v>-0.17819999999999991</v>
      </c>
      <c r="W67" s="71">
        <f t="shared" si="17"/>
        <v>-0.055200000000000138</v>
      </c>
    </row>
    <row r="68">
      <c r="A68" s="59" t="s">
        <v>138</v>
      </c>
      <c r="B68" s="136">
        <v>2</v>
      </c>
      <c r="C68" s="137">
        <v>10</v>
      </c>
      <c r="D68" s="75">
        <v>1.8678000000000001</v>
      </c>
      <c r="E68" s="75">
        <v>3.1908000000000003</v>
      </c>
      <c r="F68" s="75">
        <v>0.0048000000000000004</v>
      </c>
      <c r="G68" s="75">
        <v>1.1496</v>
      </c>
      <c r="H68" s="75">
        <v>0.71819999999999995</v>
      </c>
      <c r="I68" s="75">
        <v>11.924442941543578</v>
      </c>
      <c r="J68" s="30">
        <f t="shared" si="12"/>
        <v>6.3842183004302271</v>
      </c>
      <c r="K68" s="75">
        <v>-1.9596510922173729</v>
      </c>
      <c r="L68" s="72">
        <f t="shared" si="13"/>
        <v>38.451654352714421</v>
      </c>
      <c r="M68" s="110">
        <v>1.5726666666666669</v>
      </c>
      <c r="N68" s="75">
        <v>2.972</v>
      </c>
      <c r="O68" s="75">
        <v>0.012666666666666668</v>
      </c>
      <c r="P68" s="75">
        <v>0.8613333333333334</v>
      </c>
      <c r="Q68" s="75">
        <v>0.71133333333333337</v>
      </c>
      <c r="R68" s="75">
        <v>11.851013966432562</v>
      </c>
      <c r="S68" s="30">
        <f t="shared" si="14"/>
        <v>0.45231030097498937</v>
      </c>
      <c r="T68" s="75">
        <v>-2.0470391372426686</v>
      </c>
      <c r="U68" s="72">
        <f t="shared" si="15"/>
        <v>45.231030097498937</v>
      </c>
      <c r="V68" s="46">
        <f t="shared" si="16"/>
        <v>-0.29513333333333325</v>
      </c>
      <c r="W68" s="46">
        <f t="shared" si="17"/>
        <v>-0.0068666666666665765</v>
      </c>
    </row>
    <row r="69">
      <c r="A69" s="52" t="s">
        <v>138</v>
      </c>
      <c r="B69" s="138">
        <v>2</v>
      </c>
      <c r="C69" s="132">
        <v>10</v>
      </c>
      <c r="D69" s="30">
        <v>2.1882000000000001</v>
      </c>
      <c r="E69" s="30">
        <v>4.3529999999999998</v>
      </c>
      <c r="F69" s="30">
        <v>0.014400000000000001</v>
      </c>
      <c r="G69" s="30">
        <v>1.2786</v>
      </c>
      <c r="H69" s="30">
        <v>0.90959999999999996</v>
      </c>
      <c r="I69" s="30">
        <v>11.380902499228508</v>
      </c>
      <c r="J69" s="30">
        <f t="shared" si="12"/>
        <v>5.2010339544961646</v>
      </c>
      <c r="K69" s="30">
        <v>-2.3176092656592111</v>
      </c>
      <c r="L69" s="72">
        <f t="shared" si="13"/>
        <v>41.568412393748282</v>
      </c>
      <c r="M69" s="97">
        <v>2.0640000000000001</v>
      </c>
      <c r="N69" s="30">
        <v>4.5329999999999995</v>
      </c>
      <c r="O69" s="30">
        <v>0.027000000000000003</v>
      </c>
      <c r="P69" s="30">
        <v>1.1339999999999999</v>
      </c>
      <c r="Q69" s="30">
        <v>0.93000000000000005</v>
      </c>
      <c r="R69" s="30">
        <v>10.364166016400887</v>
      </c>
      <c r="S69" s="30">
        <f t="shared" si="14"/>
        <v>0.45058139534883723</v>
      </c>
      <c r="T69" s="30">
        <v>-2.3076608680634836</v>
      </c>
      <c r="U69" s="72">
        <f t="shared" si="15"/>
        <v>45.058139534883722</v>
      </c>
      <c r="V69" s="46">
        <f t="shared" si="16"/>
        <v>-0.12420000000000009</v>
      </c>
      <c r="W69" s="46">
        <f t="shared" si="17"/>
        <v>0.020400000000000085</v>
      </c>
    </row>
    <row r="70">
      <c r="A70" s="52" t="s">
        <v>138</v>
      </c>
      <c r="B70" s="138">
        <v>1</v>
      </c>
      <c r="C70" s="132">
        <v>10</v>
      </c>
      <c r="D70" s="30">
        <v>6.5750000000000002</v>
      </c>
      <c r="E70" s="30">
        <v>13.571</v>
      </c>
      <c r="F70" s="30">
        <v>0.07400000000000001</v>
      </c>
      <c r="G70" s="30">
        <v>3.5879999999999996</v>
      </c>
      <c r="H70" s="30">
        <v>2.9870000000000001</v>
      </c>
      <c r="I70" s="30">
        <v>11.57667444161674</v>
      </c>
      <c r="J70" s="30">
        <f t="shared" si="12"/>
        <v>1.7607109416907589</v>
      </c>
      <c r="K70" s="30">
        <v>-2.6003778033175102</v>
      </c>
      <c r="L70" s="72">
        <f t="shared" si="13"/>
        <v>45.429657794676807</v>
      </c>
      <c r="M70" s="97">
        <v>5.2515000000000001</v>
      </c>
      <c r="N70" s="30">
        <v>10.5585</v>
      </c>
      <c r="O70" s="30">
        <v>1.1640000000000001</v>
      </c>
      <c r="P70" s="30">
        <v>3.2475000000000005</v>
      </c>
      <c r="Q70" s="30">
        <v>2.0040000000000004</v>
      </c>
      <c r="R70" s="30">
        <v>10.212791018622564</v>
      </c>
      <c r="S70" s="30">
        <f t="shared" si="14"/>
        <v>0.38160525564124542</v>
      </c>
      <c r="T70" s="30">
        <v>-2.5875343175701677</v>
      </c>
      <c r="U70" s="72">
        <f t="shared" si="15"/>
        <v>38.160525564124541</v>
      </c>
      <c r="V70" s="46">
        <f t="shared" si="16"/>
        <v>-1.3235000000000001</v>
      </c>
      <c r="W70" s="46">
        <f t="shared" si="17"/>
        <v>-0.98299999999999965</v>
      </c>
    </row>
    <row r="71">
      <c r="A71" s="52" t="s">
        <v>138</v>
      </c>
      <c r="B71" s="138">
        <v>1</v>
      </c>
      <c r="C71" s="132">
        <v>10</v>
      </c>
      <c r="D71" s="30">
        <v>5.000571428571428</v>
      </c>
      <c r="E71" s="30">
        <v>10.08</v>
      </c>
      <c r="F71" s="30">
        <v>0.027428571428571431</v>
      </c>
      <c r="G71" s="30">
        <v>2.648571428571429</v>
      </c>
      <c r="H71" s="30">
        <v>2.3519999999999999</v>
      </c>
      <c r="I71" s="30">
        <v>11.592127752020806</v>
      </c>
      <c r="J71" s="30">
        <f t="shared" si="12"/>
        <v>2.3181606177621314</v>
      </c>
      <c r="K71" s="30">
        <v>-2.8009240996540763</v>
      </c>
      <c r="L71" s="72">
        <f t="shared" si="13"/>
        <v>47.034624614329793</v>
      </c>
      <c r="M71" s="97">
        <v>5.202</v>
      </c>
      <c r="N71" s="30">
        <v>8.8185000000000002</v>
      </c>
      <c r="O71" s="30">
        <v>0.042000000000000003</v>
      </c>
      <c r="P71" s="30">
        <v>2.5815000000000001</v>
      </c>
      <c r="Q71" s="30">
        <v>2.6205000000000003</v>
      </c>
      <c r="R71" s="30">
        <v>11.661140280523547</v>
      </c>
      <c r="S71" s="30">
        <f t="shared" si="14"/>
        <v>0.50374855824682818</v>
      </c>
      <c r="T71" s="30">
        <v>-2.9020358543331159</v>
      </c>
      <c r="U71" s="72">
        <f t="shared" si="15"/>
        <v>50.374855824682818</v>
      </c>
      <c r="V71" s="46">
        <f t="shared" si="16"/>
        <v>0.20142857142857196</v>
      </c>
      <c r="W71" s="46">
        <f t="shared" si="17"/>
        <v>0.26850000000000041</v>
      </c>
    </row>
    <row r="72">
      <c r="A72" s="52" t="s">
        <v>138</v>
      </c>
      <c r="B72" s="138">
        <v>1</v>
      </c>
      <c r="C72" s="132">
        <v>10</v>
      </c>
      <c r="D72" s="30">
        <v>2.3610000000000002</v>
      </c>
      <c r="E72" s="30">
        <v>4.9874999999999998</v>
      </c>
      <c r="F72" s="30">
        <v>0.018000000000000002</v>
      </c>
      <c r="G72" s="30">
        <v>1.278</v>
      </c>
      <c r="H72" s="30">
        <v>1.083</v>
      </c>
      <c r="I72" s="30">
        <v>11.694077375786296</v>
      </c>
      <c r="J72" s="30">
        <f t="shared" si="12"/>
        <v>4.9530187953351525</v>
      </c>
      <c r="K72" s="30">
        <v>-2.5676694149600889</v>
      </c>
      <c r="L72" s="72">
        <f t="shared" si="13"/>
        <v>45.870393900889454</v>
      </c>
      <c r="M72" s="97">
        <v>2.5491428571428574</v>
      </c>
      <c r="N72" s="30">
        <v>4.5265714285714287</v>
      </c>
      <c r="O72" s="30">
        <v>0.019714285714285715</v>
      </c>
      <c r="P72" s="30">
        <v>1.3122857142857143</v>
      </c>
      <c r="Q72" s="30">
        <v>1.2368571428571429</v>
      </c>
      <c r="R72" s="30">
        <v>11.542319182725171</v>
      </c>
      <c r="S72" s="30">
        <f t="shared" si="14"/>
        <v>0.48520511096166774</v>
      </c>
      <c r="T72" s="30">
        <v>-2.4399201048915544</v>
      </c>
      <c r="U72" s="72">
        <f t="shared" si="15"/>
        <v>48.520511096166771</v>
      </c>
      <c r="V72" s="46">
        <f t="shared" si="16"/>
        <v>0.18814285714285717</v>
      </c>
      <c r="W72" s="46">
        <f t="shared" si="17"/>
        <v>0.15385714285714291</v>
      </c>
    </row>
    <row r="73">
      <c r="A73" s="43" t="s">
        <v>139</v>
      </c>
      <c r="B73" s="138">
        <v>1</v>
      </c>
      <c r="C73" s="132">
        <v>10</v>
      </c>
      <c r="D73" s="30">
        <v>2.6046666666666667</v>
      </c>
      <c r="E73" s="30">
        <v>5.7466666666666661</v>
      </c>
      <c r="F73" s="30">
        <v>0.03266666666666667</v>
      </c>
      <c r="G73" s="30">
        <v>1.2773333333333334</v>
      </c>
      <c r="H73" s="30">
        <v>1.3273333333333335</v>
      </c>
      <c r="I73" s="30">
        <v>11.710177601831068</v>
      </c>
      <c r="J73" s="30">
        <f t="shared" si="12"/>
        <v>4.495844996863732</v>
      </c>
      <c r="K73" s="30">
        <v>-2.3943084815285736</v>
      </c>
      <c r="L73" s="72">
        <f t="shared" si="13"/>
        <v>50.959815715382653</v>
      </c>
      <c r="M73" s="97">
        <v>2.6400000000000001</v>
      </c>
      <c r="N73" s="30">
        <v>4.7385000000000002</v>
      </c>
      <c r="O73" s="30">
        <v>0.018000000000000002</v>
      </c>
      <c r="P73" s="30">
        <v>1.3020000000000003</v>
      </c>
      <c r="Q73" s="30">
        <v>1.3379999999999999</v>
      </c>
      <c r="R73" s="30">
        <v>11.677856969119496</v>
      </c>
      <c r="S73" s="30">
        <f t="shared" si="14"/>
        <v>0.50681818181818172</v>
      </c>
      <c r="T73" s="30">
        <v>-2.4281600105059074</v>
      </c>
      <c r="U73" s="72">
        <f t="shared" si="15"/>
        <v>50.681818181818173</v>
      </c>
      <c r="V73" s="46">
        <f t="shared" si="16"/>
        <v>0.035333333333333439</v>
      </c>
      <c r="W73" s="46">
        <f t="shared" si="17"/>
        <v>0.01066666666666638</v>
      </c>
    </row>
    <row r="74">
      <c r="A74" s="42" t="s">
        <v>139</v>
      </c>
      <c r="B74" s="138">
        <v>2</v>
      </c>
      <c r="C74" s="119">
        <v>10</v>
      </c>
      <c r="D74" s="30">
        <v>3.7746000000000004</v>
      </c>
      <c r="E74" s="30">
        <v>7.8738000000000001</v>
      </c>
      <c r="F74" s="30">
        <v>0.0252</v>
      </c>
      <c r="G74" s="30">
        <v>2.0819999999999999</v>
      </c>
      <c r="H74" s="30">
        <v>1.6926000000000001</v>
      </c>
      <c r="I74" s="30">
        <v>11.373812992179598</v>
      </c>
      <c r="J74" s="30">
        <f t="shared" ref="J74:J95" si="18">I74/D74</f>
        <v>3.0132498787102202</v>
      </c>
      <c r="K74" s="30">
        <v>-2.8848476176806015</v>
      </c>
      <c r="L74" s="72">
        <f t="shared" ref="L74:L95" si="19">(H74/D74)*100</f>
        <v>44.841837545700201</v>
      </c>
      <c r="M74" s="97">
        <v>3.6912000000000007</v>
      </c>
      <c r="N74" s="30">
        <v>6.269400000000001</v>
      </c>
      <c r="O74" s="30">
        <v>0.031800000000000002</v>
      </c>
      <c r="P74" s="30">
        <v>2.0124000000000004</v>
      </c>
      <c r="Q74" s="30">
        <v>1.6788000000000001</v>
      </c>
      <c r="R74" s="30">
        <v>11.663831505475004</v>
      </c>
      <c r="S74" s="30">
        <f t="shared" ref="S74:S95" si="20">Q74/M74</f>
        <v>0.45481144343302982</v>
      </c>
      <c r="T74" s="30">
        <v>-2.6790041118544146</v>
      </c>
      <c r="U74" s="72">
        <f t="shared" ref="U74:U95" si="21">(Q74/M74)*100</f>
        <v>45.481144343302979</v>
      </c>
      <c r="V74" s="46">
        <f t="shared" ref="V74:V95" si="22">M74-D74</f>
        <v>-0.083399999999999697</v>
      </c>
      <c r="W74" s="46">
        <f t="shared" ref="W74:W95" si="23">Q74-H74</f>
        <v>-0.013800000000000034</v>
      </c>
    </row>
    <row r="75">
      <c r="A75" s="42" t="s">
        <v>138</v>
      </c>
      <c r="B75" s="139">
        <v>2</v>
      </c>
      <c r="C75" s="122">
        <v>10.02</v>
      </c>
      <c r="D75" s="30">
        <v>2.3062</v>
      </c>
      <c r="E75" s="30">
        <v>4.5992000000000006</v>
      </c>
      <c r="F75" s="30">
        <v>0.014000000000000002</v>
      </c>
      <c r="G75" s="30">
        <v>1.3836999999999999</v>
      </c>
      <c r="H75" s="30">
        <v>0.92249999999999999</v>
      </c>
      <c r="I75" s="30">
        <v>11.42947125682287</v>
      </c>
      <c r="J75" s="30">
        <f t="shared" si="18"/>
        <v>4.9559757422699118</v>
      </c>
      <c r="K75" s="30">
        <v>-2.7208596148401996</v>
      </c>
      <c r="L75" s="72">
        <f t="shared" si="19"/>
        <v>40.000867227473762</v>
      </c>
      <c r="M75" s="97">
        <v>2.1581000000000001</v>
      </c>
      <c r="N75" s="30">
        <v>3.9918000000000005</v>
      </c>
      <c r="O75" s="30">
        <v>0.014500000000000002</v>
      </c>
      <c r="P75" s="30">
        <v>1.2696000000000001</v>
      </c>
      <c r="Q75" s="30">
        <v>0.88849999999999996</v>
      </c>
      <c r="R75" s="30">
        <v>11.523224351515108</v>
      </c>
      <c r="S75" s="30">
        <f t="shared" si="20"/>
        <v>0.41170474028080251</v>
      </c>
      <c r="T75" s="30">
        <v>-2.6762501100201632</v>
      </c>
      <c r="U75" s="72">
        <f t="shared" si="21"/>
        <v>41.17047402808025</v>
      </c>
      <c r="V75" s="46">
        <f t="shared" si="22"/>
        <v>-0.1480999999999999</v>
      </c>
      <c r="W75" s="46">
        <f t="shared" si="23"/>
        <v>-0.03400000000000003</v>
      </c>
    </row>
    <row r="76">
      <c r="A76" s="42" t="s">
        <v>139</v>
      </c>
      <c r="B76" s="138">
        <v>2</v>
      </c>
      <c r="C76" s="119">
        <v>10.029999999999999</v>
      </c>
      <c r="D76" s="30">
        <v>4.5696000000000003</v>
      </c>
      <c r="E76" s="30">
        <v>8.5134000000000007</v>
      </c>
      <c r="F76" s="30">
        <v>0.036000000000000011</v>
      </c>
      <c r="G76" s="30">
        <v>2.4618000000000002</v>
      </c>
      <c r="H76" s="30">
        <v>2.1078000000000001</v>
      </c>
      <c r="I76" s="30">
        <v>11.397135241351897</v>
      </c>
      <c r="J76" s="30">
        <f t="shared" si="18"/>
        <v>2.4941209824387029</v>
      </c>
      <c r="K76" s="30">
        <v>-2.5538104094276113</v>
      </c>
      <c r="L76" s="72">
        <f t="shared" si="19"/>
        <v>46.126575630252098</v>
      </c>
      <c r="M76" s="97">
        <v>4.2870000000000008</v>
      </c>
      <c r="N76" s="30">
        <v>6.991200000000001</v>
      </c>
      <c r="O76" s="30">
        <v>0.052200000000000003</v>
      </c>
      <c r="P76" s="30">
        <v>2.4342000000000006</v>
      </c>
      <c r="Q76" s="30">
        <v>1.8528000000000002</v>
      </c>
      <c r="R76" s="30">
        <v>11.540781798781298</v>
      </c>
      <c r="S76" s="30">
        <f t="shared" si="20"/>
        <v>0.43219034289713082</v>
      </c>
      <c r="T76" s="30">
        <v>-2.7357143058579263</v>
      </c>
      <c r="U76" s="72">
        <f t="shared" si="21"/>
        <v>43.219034289713079</v>
      </c>
      <c r="V76" s="46">
        <f t="shared" si="22"/>
        <v>-0.28259999999999952</v>
      </c>
      <c r="W76" s="46">
        <f t="shared" si="23"/>
        <v>-0.25499999999999989</v>
      </c>
    </row>
    <row r="77">
      <c r="A77" s="42" t="s">
        <v>138</v>
      </c>
      <c r="B77" s="136">
        <v>1</v>
      </c>
      <c r="C77" s="131">
        <v>10.039999999999999</v>
      </c>
      <c r="D77" s="30">
        <v>1.3524</v>
      </c>
      <c r="E77" s="30">
        <v>2.7630000000000003</v>
      </c>
      <c r="F77" s="30">
        <v>0.016800000000000002</v>
      </c>
      <c r="G77" s="30">
        <v>0.63</v>
      </c>
      <c r="H77" s="30">
        <v>0.72240000000000004</v>
      </c>
      <c r="I77" s="30">
        <v>11.504154360740332</v>
      </c>
      <c r="J77" s="30">
        <f t="shared" si="18"/>
        <v>8.5064732037417414</v>
      </c>
      <c r="K77" s="30">
        <v>-2.1867036776102329</v>
      </c>
      <c r="L77" s="72">
        <f t="shared" si="19"/>
        <v>53.41614906832298</v>
      </c>
      <c r="M77" s="97">
        <v>1.3115999999999999</v>
      </c>
      <c r="N77" s="30">
        <v>2.5212000000000003</v>
      </c>
      <c r="O77" s="30">
        <v>0.021600000000000001</v>
      </c>
      <c r="P77" s="30">
        <v>0.59460000000000002</v>
      </c>
      <c r="Q77" s="30">
        <v>0.71700000000000008</v>
      </c>
      <c r="R77" s="30">
        <v>11.735075548373416</v>
      </c>
      <c r="S77" s="30">
        <f t="shared" si="20"/>
        <v>0.54666056724611178</v>
      </c>
      <c r="T77" s="30">
        <v>-2.2167753024602201</v>
      </c>
      <c r="U77" s="72">
        <f t="shared" si="21"/>
        <v>54.666056724611181</v>
      </c>
      <c r="V77" s="46">
        <f t="shared" si="22"/>
        <v>-0.040800000000000169</v>
      </c>
      <c r="W77" s="46">
        <f t="shared" si="23"/>
        <v>-0.0053999999999999604</v>
      </c>
    </row>
    <row r="78">
      <c r="A78" s="42" t="s">
        <v>138</v>
      </c>
      <c r="B78" s="139">
        <v>2</v>
      </c>
      <c r="C78" s="122">
        <v>10.039999999999999</v>
      </c>
      <c r="D78" s="30">
        <v>1.2642000000000002</v>
      </c>
      <c r="E78" s="30">
        <v>2.7516000000000003</v>
      </c>
      <c r="F78" s="30">
        <v>0.0036000000000000003</v>
      </c>
      <c r="G78" s="30">
        <v>0.63840000000000008</v>
      </c>
      <c r="H78" s="30">
        <v>0.62580000000000013</v>
      </c>
      <c r="I78" s="30">
        <v>11.478572903998614</v>
      </c>
      <c r="J78" s="30">
        <f t="shared" si="18"/>
        <v>9.0797127859504929</v>
      </c>
      <c r="K78" s="30">
        <v>-2.1387399294312077</v>
      </c>
      <c r="L78" s="72">
        <f t="shared" si="19"/>
        <v>49.501661129568106</v>
      </c>
      <c r="M78" s="97">
        <v>1.3026000000000002</v>
      </c>
      <c r="N78" s="30">
        <v>2.6688000000000001</v>
      </c>
      <c r="O78" s="30">
        <v>0.0126</v>
      </c>
      <c r="P78" s="30">
        <v>0.6522</v>
      </c>
      <c r="Q78" s="30">
        <v>0.65040000000000009</v>
      </c>
      <c r="R78" s="30">
        <v>11.59409082625594</v>
      </c>
      <c r="S78" s="30">
        <f t="shared" si="20"/>
        <v>0.49930907415937353</v>
      </c>
      <c r="T78" s="30">
        <v>-2.0994341148630031</v>
      </c>
      <c r="U78" s="72">
        <f t="shared" si="21"/>
        <v>49.930907415937355</v>
      </c>
      <c r="V78" s="46">
        <f t="shared" si="22"/>
        <v>0.03839999999999999</v>
      </c>
      <c r="W78" s="46">
        <f t="shared" si="23"/>
        <v>0.024599999999999955</v>
      </c>
    </row>
    <row r="79">
      <c r="A79" s="43" t="s">
        <v>139</v>
      </c>
      <c r="B79" s="138">
        <v>1</v>
      </c>
      <c r="C79" s="126">
        <v>10.06</v>
      </c>
      <c r="D79" s="30">
        <v>3.0713999999999997</v>
      </c>
      <c r="E79" s="30">
        <v>6.5153999999999996</v>
      </c>
      <c r="F79" s="30">
        <v>0.21840000000000001</v>
      </c>
      <c r="G79" s="30">
        <v>1.6428</v>
      </c>
      <c r="H79" s="30">
        <v>1.4286000000000001</v>
      </c>
      <c r="I79" s="30">
        <v>11.443366833145248</v>
      </c>
      <c r="J79" s="30">
        <f t="shared" si="18"/>
        <v>3.7257819994612391</v>
      </c>
      <c r="K79" s="30">
        <v>-2.4773432904542467</v>
      </c>
      <c r="L79" s="72">
        <f t="shared" si="19"/>
        <v>46.512990818519249</v>
      </c>
      <c r="M79" s="97">
        <v>3.1973333333333338</v>
      </c>
      <c r="N79" s="30">
        <v>5.6520000000000001</v>
      </c>
      <c r="O79" s="30">
        <v>0.078666666666666676</v>
      </c>
      <c r="P79" s="30">
        <v>1.7499999999999998</v>
      </c>
      <c r="Q79" s="30">
        <v>1.4473333333333334</v>
      </c>
      <c r="R79" s="30">
        <v>11.503224215756674</v>
      </c>
      <c r="S79" s="30">
        <f t="shared" si="20"/>
        <v>0.45266889074228517</v>
      </c>
      <c r="T79" s="30">
        <v>-2.4545523771264661</v>
      </c>
      <c r="U79" s="72">
        <f t="shared" si="21"/>
        <v>45.266889074228516</v>
      </c>
      <c r="V79" s="46">
        <f t="shared" si="22"/>
        <v>0.12593333333333412</v>
      </c>
      <c r="W79" s="46">
        <f t="shared" si="23"/>
        <v>0.018733333333333269</v>
      </c>
    </row>
    <row r="80">
      <c r="A80" s="43" t="s">
        <v>139</v>
      </c>
      <c r="B80" s="138">
        <v>1</v>
      </c>
      <c r="C80" s="126">
        <v>10.06</v>
      </c>
      <c r="D80" s="30">
        <v>5.8919999999999995</v>
      </c>
      <c r="E80" s="30">
        <v>12.193666666666667</v>
      </c>
      <c r="F80" s="30">
        <v>0.21166666666666667</v>
      </c>
      <c r="G80" s="30">
        <v>3.1673333333333336</v>
      </c>
      <c r="H80" s="30">
        <v>2.7246666666666663</v>
      </c>
      <c r="I80" s="30">
        <v>11.330698609644749</v>
      </c>
      <c r="J80" s="30">
        <f t="shared" si="18"/>
        <v>1.9230649371426936</v>
      </c>
      <c r="K80" s="30">
        <v>-2.964064191721381</v>
      </c>
      <c r="L80" s="72">
        <f t="shared" si="19"/>
        <v>46.243494003168131</v>
      </c>
      <c r="M80" s="97">
        <v>3.7550000000000003</v>
      </c>
      <c r="N80" s="30">
        <v>7.3800000000000017</v>
      </c>
      <c r="O80" s="30">
        <v>0.046000000000000006</v>
      </c>
      <c r="P80" s="30">
        <v>1.9010000000000005</v>
      </c>
      <c r="Q80" s="30">
        <v>1.8540000000000003</v>
      </c>
      <c r="R80" s="30">
        <v>11.279072403244756</v>
      </c>
      <c r="S80" s="30">
        <f t="shared" si="20"/>
        <v>0.49374167776298272</v>
      </c>
      <c r="T80" s="30">
        <v>-2.7578472854278293</v>
      </c>
      <c r="U80" s="72">
        <f t="shared" si="21"/>
        <v>49.374167776298272</v>
      </c>
      <c r="V80" s="46">
        <f t="shared" si="22"/>
        <v>-2.1369999999999991</v>
      </c>
      <c r="W80" s="46">
        <f t="shared" si="23"/>
        <v>-0.87066666666666603</v>
      </c>
    </row>
    <row r="81">
      <c r="A81" s="43" t="s">
        <v>139</v>
      </c>
      <c r="B81" s="138">
        <v>1</v>
      </c>
      <c r="C81" s="126">
        <v>10.06</v>
      </c>
      <c r="D81" s="30">
        <v>4.6353333333333335</v>
      </c>
      <c r="E81" s="30">
        <v>9.1717777777777787</v>
      </c>
      <c r="F81" s="30">
        <v>0.019777777777777783</v>
      </c>
      <c r="G81" s="30">
        <v>2.7977777777777781</v>
      </c>
      <c r="H81" s="30">
        <v>1.8375555555555556</v>
      </c>
      <c r="I81" s="30">
        <v>11.761450160188748</v>
      </c>
      <c r="J81" s="30">
        <f t="shared" si="18"/>
        <v>2.5373472228222522</v>
      </c>
      <c r="K81" s="30">
        <v>-2.9943228224930403</v>
      </c>
      <c r="L81" s="72">
        <f t="shared" si="19"/>
        <v>39.642360611726353</v>
      </c>
      <c r="M81" s="97">
        <v>4.3140000000000001</v>
      </c>
      <c r="N81" s="30">
        <v>7.5360000000000014</v>
      </c>
      <c r="O81" s="30">
        <v>0.22200000000000003</v>
      </c>
      <c r="P81" s="30">
        <v>2.5604999999999998</v>
      </c>
      <c r="Q81" s="30">
        <v>1.7534999999999998</v>
      </c>
      <c r="R81" s="30">
        <v>11.930378601466082</v>
      </c>
      <c r="S81" s="30">
        <f t="shared" si="20"/>
        <v>0.40646731571627254</v>
      </c>
      <c r="T81" s="30">
        <v>-2.8739616629206535</v>
      </c>
      <c r="U81" s="72">
        <f t="shared" si="21"/>
        <v>40.646731571627257</v>
      </c>
      <c r="V81" s="46">
        <f t="shared" si="22"/>
        <v>-0.32133333333333347</v>
      </c>
      <c r="W81" s="46">
        <f t="shared" si="23"/>
        <v>-0.084055555555555772</v>
      </c>
    </row>
    <row r="82">
      <c r="A82" s="42" t="s">
        <v>139</v>
      </c>
      <c r="B82" s="138">
        <v>1</v>
      </c>
      <c r="C82" s="119">
        <v>10.07</v>
      </c>
      <c r="D82" s="30">
        <v>2.785333333333333</v>
      </c>
      <c r="E82" s="30">
        <v>4.6973333333333338</v>
      </c>
      <c r="F82" s="30">
        <v>0.050666666666666665</v>
      </c>
      <c r="G82" s="30">
        <v>1.6039999999999999</v>
      </c>
      <c r="H82" s="30">
        <v>1.1813333333333336</v>
      </c>
      <c r="I82" s="30">
        <v>11.297495837435049</v>
      </c>
      <c r="J82" s="30">
        <f t="shared" si="18"/>
        <v>4.0560660019513106</v>
      </c>
      <c r="K82" s="30">
        <v>-2.3293118322772353</v>
      </c>
      <c r="L82" s="72">
        <f t="shared" si="19"/>
        <v>42.41263762565822</v>
      </c>
      <c r="M82" s="97">
        <v>3.0622500000000001</v>
      </c>
      <c r="N82" s="30">
        <v>7.6057500000000005</v>
      </c>
      <c r="O82" s="30">
        <v>0.12525</v>
      </c>
      <c r="P82" s="30">
        <v>1.7872500000000002</v>
      </c>
      <c r="Q82" s="30">
        <v>1.2749999999999999</v>
      </c>
      <c r="R82" s="30">
        <v>10.4839328299631</v>
      </c>
      <c r="S82" s="30">
        <f t="shared" si="20"/>
        <v>0.41636051922605921</v>
      </c>
      <c r="T82" s="30">
        <v>-2.2958319691527476</v>
      </c>
      <c r="U82" s="72">
        <f t="shared" si="21"/>
        <v>41.636051922605922</v>
      </c>
      <c r="V82" s="46">
        <f t="shared" si="22"/>
        <v>0.27691666666666714</v>
      </c>
      <c r="W82" s="46">
        <f t="shared" si="23"/>
        <v>0.093666666666666343</v>
      </c>
    </row>
    <row r="83">
      <c r="A83" s="42" t="s">
        <v>138</v>
      </c>
      <c r="B83" s="138">
        <v>2</v>
      </c>
      <c r="C83" s="126">
        <v>10.08</v>
      </c>
      <c r="D83" s="30">
        <v>2.1264000000000003</v>
      </c>
      <c r="E83" s="30">
        <v>4.2869999999999999</v>
      </c>
      <c r="F83" s="30">
        <v>0.012</v>
      </c>
      <c r="G83" s="30">
        <v>1.1208000000000002</v>
      </c>
      <c r="H83" s="30">
        <v>1.0056</v>
      </c>
      <c r="I83" s="30">
        <v>11.530834735625595</v>
      </c>
      <c r="J83" s="30">
        <f t="shared" si="18"/>
        <v>5.4227025656629015</v>
      </c>
      <c r="K83" s="30">
        <v>-2.3255314535139568</v>
      </c>
      <c r="L83" s="72">
        <f t="shared" si="19"/>
        <v>47.291196388261845</v>
      </c>
      <c r="M83" s="97">
        <v>2.0910000000000002</v>
      </c>
      <c r="N83" s="30">
        <v>3.8771999999999998</v>
      </c>
      <c r="O83" s="30">
        <v>0.016800000000000002</v>
      </c>
      <c r="P83" s="30">
        <v>1.0661999999999998</v>
      </c>
      <c r="Q83" s="30">
        <v>1.0248000000000002</v>
      </c>
      <c r="R83" s="30">
        <v>11.780496274412211</v>
      </c>
      <c r="S83" s="30">
        <f t="shared" si="20"/>
        <v>0.49010043041606888</v>
      </c>
      <c r="T83" s="30">
        <v>-2.3740707610110143</v>
      </c>
      <c r="U83" s="72">
        <f t="shared" si="21"/>
        <v>49.010043041606885</v>
      </c>
      <c r="V83" s="46">
        <f t="shared" si="22"/>
        <v>-0.035400000000000098</v>
      </c>
      <c r="W83" s="46">
        <f t="shared" si="23"/>
        <v>0.019200000000000106</v>
      </c>
    </row>
    <row r="84">
      <c r="A84" s="42" t="s">
        <v>138</v>
      </c>
      <c r="B84" s="139">
        <v>2</v>
      </c>
      <c r="C84" s="122">
        <v>10.09</v>
      </c>
      <c r="D84" s="30">
        <v>0.7717777777777779</v>
      </c>
      <c r="E84" s="30">
        <v>1.692666666666667</v>
      </c>
      <c r="F84" s="30">
        <v>0</v>
      </c>
      <c r="G84" s="30">
        <v>0.44733333333333342</v>
      </c>
      <c r="H84" s="30">
        <v>0.32444444444444437</v>
      </c>
      <c r="I84" s="30">
        <v>11.18271216198896</v>
      </c>
      <c r="J84" s="30">
        <f t="shared" si="18"/>
        <v>14.489549302893842</v>
      </c>
      <c r="K84" s="30">
        <v>-2.0544369194992185</v>
      </c>
      <c r="L84" s="72">
        <f t="shared" si="19"/>
        <v>42.038583357327944</v>
      </c>
      <c r="M84" s="97">
        <v>0.89700000000000024</v>
      </c>
      <c r="N84" s="30">
        <v>1.8353999999999999</v>
      </c>
      <c r="O84" s="30">
        <v>0.0071999999999999998</v>
      </c>
      <c r="P84" s="30">
        <v>0.48060000000000003</v>
      </c>
      <c r="Q84" s="30">
        <v>0.41640000000000005</v>
      </c>
      <c r="R84" s="30">
        <v>11.300204192824733</v>
      </c>
      <c r="S84" s="30">
        <f t="shared" si="20"/>
        <v>0.46421404682274242</v>
      </c>
      <c r="T84" s="30">
        <v>-2.0869582620921343</v>
      </c>
      <c r="U84" s="72">
        <f t="shared" si="21"/>
        <v>46.421404682274243</v>
      </c>
      <c r="V84" s="46">
        <f t="shared" si="22"/>
        <v>0.12522222222222235</v>
      </c>
      <c r="W84" s="46">
        <f t="shared" si="23"/>
        <v>0.091955555555555679</v>
      </c>
    </row>
    <row r="85">
      <c r="A85" s="42" t="s">
        <v>139</v>
      </c>
      <c r="B85" s="138">
        <v>2</v>
      </c>
      <c r="C85" s="119">
        <v>10.1</v>
      </c>
      <c r="D85" s="30">
        <v>2.0028000000000001</v>
      </c>
      <c r="E85" s="30">
        <v>4.0655999999999999</v>
      </c>
      <c r="F85" s="30">
        <v>0.022800000000000001</v>
      </c>
      <c r="G85" s="30">
        <v>1.0884</v>
      </c>
      <c r="H85" s="30">
        <v>0.91439999999999999</v>
      </c>
      <c r="I85" s="30">
        <v>12.202806538790995</v>
      </c>
      <c r="J85" s="30">
        <f t="shared" si="18"/>
        <v>6.0928732468499067</v>
      </c>
      <c r="K85" s="30">
        <v>-2.3255629313138999</v>
      </c>
      <c r="L85" s="72">
        <f t="shared" si="19"/>
        <v>45.656081485919707</v>
      </c>
      <c r="M85" s="97">
        <v>1.6398000000000004</v>
      </c>
      <c r="N85" s="30">
        <v>3.0384000000000002</v>
      </c>
      <c r="O85" s="30">
        <v>0.016200000000000003</v>
      </c>
      <c r="P85" s="30">
        <v>0.86940000000000006</v>
      </c>
      <c r="Q85" s="30">
        <v>0.77039999999999997</v>
      </c>
      <c r="R85" s="30">
        <v>12.231610771202977</v>
      </c>
      <c r="S85" s="30">
        <f t="shared" si="20"/>
        <v>0.46981339187705806</v>
      </c>
      <c r="T85" s="30">
        <v>-2.2108774527796502</v>
      </c>
      <c r="U85" s="72">
        <f t="shared" si="21"/>
        <v>46.981339187705807</v>
      </c>
      <c r="V85" s="46">
        <f t="shared" si="22"/>
        <v>-0.36299999999999977</v>
      </c>
      <c r="W85" s="46">
        <f t="shared" si="23"/>
        <v>-0.14400000000000002</v>
      </c>
    </row>
    <row r="86">
      <c r="A86" s="42" t="s">
        <v>138</v>
      </c>
      <c r="B86" s="138">
        <v>2</v>
      </c>
      <c r="C86" s="126">
        <v>10.1</v>
      </c>
      <c r="D86" s="30">
        <v>1.9548000000000001</v>
      </c>
      <c r="E86" s="30">
        <v>4.2108000000000008</v>
      </c>
      <c r="F86" s="30">
        <v>0.024</v>
      </c>
      <c r="G86" s="30">
        <v>0.93659999999999999</v>
      </c>
      <c r="H86" s="30">
        <v>1.0181999999999998</v>
      </c>
      <c r="I86" s="30">
        <v>11.408801887809874</v>
      </c>
      <c r="J86" s="30">
        <f t="shared" si="18"/>
        <v>5.8363013545170217</v>
      </c>
      <c r="K86" s="30">
        <v>-2.1910512712391679</v>
      </c>
      <c r="L86" s="72">
        <f t="shared" si="19"/>
        <v>52.087170042971131</v>
      </c>
      <c r="M86" s="97">
        <v>2.0064000000000002</v>
      </c>
      <c r="N86" s="30">
        <v>3.7902</v>
      </c>
      <c r="O86" s="30">
        <v>0.0246</v>
      </c>
      <c r="P86" s="30">
        <v>0.97620000000000007</v>
      </c>
      <c r="Q86" s="30">
        <v>1.0302</v>
      </c>
      <c r="R86" s="30">
        <v>11.486479774856077</v>
      </c>
      <c r="S86" s="30">
        <f t="shared" si="20"/>
        <v>0.513456937799043</v>
      </c>
      <c r="T86" s="30">
        <v>-2.2274446433105641</v>
      </c>
      <c r="U86" s="72">
        <f t="shared" si="21"/>
        <v>51.345693779904302</v>
      </c>
      <c r="V86" s="46">
        <f t="shared" si="22"/>
        <v>0.05160000000000009</v>
      </c>
      <c r="W86" s="46">
        <f t="shared" si="23"/>
        <v>0.012000000000000233</v>
      </c>
    </row>
    <row r="87">
      <c r="A87" s="42" t="s">
        <v>138</v>
      </c>
      <c r="B87" s="138">
        <v>2</v>
      </c>
      <c r="C87" s="126">
        <v>10.109999999999999</v>
      </c>
      <c r="D87" s="30">
        <v>1.5315000000000001</v>
      </c>
      <c r="E87" s="30">
        <v>3.0952500000000005</v>
      </c>
      <c r="F87" s="30">
        <v>0.021000000000000001</v>
      </c>
      <c r="G87" s="30">
        <v>0.75450000000000006</v>
      </c>
      <c r="H87" s="30">
        <v>0.77700000000000002</v>
      </c>
      <c r="I87" s="30">
        <v>11.39079281864745</v>
      </c>
      <c r="J87" s="30">
        <f t="shared" si="18"/>
        <v>7.437670792456708</v>
      </c>
      <c r="K87" s="30">
        <v>-2.0985498324979552</v>
      </c>
      <c r="L87" s="72">
        <f t="shared" si="19"/>
        <v>50.734573947110675</v>
      </c>
      <c r="M87" s="97">
        <v>1.7687999999999999</v>
      </c>
      <c r="N87" s="30">
        <v>3.5664000000000002</v>
      </c>
      <c r="O87" s="30">
        <v>0.019800000000000005</v>
      </c>
      <c r="P87" s="30">
        <v>0.92460000000000009</v>
      </c>
      <c r="Q87" s="30">
        <v>0.84420000000000006</v>
      </c>
      <c r="R87" s="30">
        <v>11.785652328064113</v>
      </c>
      <c r="S87" s="30">
        <f t="shared" si="20"/>
        <v>0.47727272727272735</v>
      </c>
      <c r="T87" s="30">
        <v>-2.1747279215233961</v>
      </c>
      <c r="U87" s="72">
        <f t="shared" si="21"/>
        <v>47.727272727272734</v>
      </c>
      <c r="V87" s="46">
        <f t="shared" si="22"/>
        <v>0.23729999999999984</v>
      </c>
      <c r="W87" s="46">
        <f t="shared" si="23"/>
        <v>0.067200000000000037</v>
      </c>
    </row>
    <row r="88">
      <c r="A88" s="52" t="s">
        <v>138</v>
      </c>
      <c r="B88" s="138">
        <v>2</v>
      </c>
      <c r="C88" s="132">
        <v>11</v>
      </c>
      <c r="D88" s="30">
        <v>1.2809999999999999</v>
      </c>
      <c r="E88" s="30">
        <v>2.3050000000000002</v>
      </c>
      <c r="F88" s="30">
        <v>0.011000000000000001</v>
      </c>
      <c r="G88" s="30">
        <v>0.65300000000000002</v>
      </c>
      <c r="H88" s="30">
        <v>0.628</v>
      </c>
      <c r="I88" s="30">
        <v>12.159294434790212</v>
      </c>
      <c r="J88" s="30">
        <f t="shared" si="18"/>
        <v>9.4920331262999316</v>
      </c>
      <c r="K88" s="30">
        <v>-2.3114995627783208</v>
      </c>
      <c r="L88" s="72">
        <f t="shared" si="19"/>
        <v>49.024199843871976</v>
      </c>
      <c r="M88" s="97">
        <v>0.91628571428571437</v>
      </c>
      <c r="N88" s="30">
        <v>1.6945714285714288</v>
      </c>
      <c r="O88" s="30">
        <v>0.0068571428571428559</v>
      </c>
      <c r="P88" s="30">
        <v>0.47314285714285714</v>
      </c>
      <c r="Q88" s="30">
        <v>0.44314285714285717</v>
      </c>
      <c r="R88" s="30">
        <v>11.864660920011961</v>
      </c>
      <c r="S88" s="30">
        <f t="shared" si="20"/>
        <v>0.4836295603367633</v>
      </c>
      <c r="T88" s="30">
        <v>-2.1342405413834569</v>
      </c>
      <c r="U88" s="72">
        <f t="shared" si="21"/>
        <v>48.362956033676326</v>
      </c>
      <c r="V88" s="46">
        <f t="shared" si="22"/>
        <v>-0.36471428571428555</v>
      </c>
      <c r="W88" s="46">
        <f t="shared" si="23"/>
        <v>-0.18485714285714283</v>
      </c>
    </row>
    <row r="89">
      <c r="A89" s="43" t="s">
        <v>139</v>
      </c>
      <c r="B89" s="138">
        <v>1</v>
      </c>
      <c r="C89" s="132">
        <v>11</v>
      </c>
      <c r="D89" s="30">
        <v>3.5382857142857143</v>
      </c>
      <c r="E89" s="30">
        <v>7.0508571428571427</v>
      </c>
      <c r="F89" s="30">
        <v>0.023142857142857142</v>
      </c>
      <c r="G89" s="30">
        <v>2.2174285714285715</v>
      </c>
      <c r="H89" s="30">
        <v>1.3208571428571432</v>
      </c>
      <c r="I89" s="30">
        <v>12.640600202600714</v>
      </c>
      <c r="J89" s="30">
        <f t="shared" si="18"/>
        <v>3.5725210520916102</v>
      </c>
      <c r="K89" s="30">
        <v>-2.7652134862109174</v>
      </c>
      <c r="L89" s="72">
        <f t="shared" si="19"/>
        <v>37.330426356589157</v>
      </c>
      <c r="M89" s="97">
        <v>2.7480000000000002</v>
      </c>
      <c r="N89" s="30">
        <v>6.6468000000000016</v>
      </c>
      <c r="O89" s="30">
        <v>0.016800000000000002</v>
      </c>
      <c r="P89" s="30">
        <v>1.7676000000000003</v>
      </c>
      <c r="Q89" s="30">
        <v>0.98040000000000016</v>
      </c>
      <c r="R89" s="30">
        <v>9.7671678237744057</v>
      </c>
      <c r="S89" s="30">
        <f t="shared" si="20"/>
        <v>0.35676855895196508</v>
      </c>
      <c r="T89" s="30">
        <v>-2.4002977518934885</v>
      </c>
      <c r="U89" s="72">
        <f t="shared" si="21"/>
        <v>35.67685589519651</v>
      </c>
      <c r="V89" s="46">
        <f t="shared" si="22"/>
        <v>-0.79028571428571404</v>
      </c>
      <c r="W89" s="46">
        <f t="shared" si="23"/>
        <v>-0.34045714285714301</v>
      </c>
    </row>
    <row r="90">
      <c r="A90" s="42" t="s">
        <v>139</v>
      </c>
      <c r="B90" s="138">
        <v>1</v>
      </c>
      <c r="C90" s="119">
        <v>11.01</v>
      </c>
      <c r="D90" s="30">
        <v>1.5294000000000001</v>
      </c>
      <c r="E90" s="30">
        <v>2.8361999999999998</v>
      </c>
      <c r="F90" s="30">
        <v>0</v>
      </c>
      <c r="G90" s="30">
        <v>0.92279999999999995</v>
      </c>
      <c r="H90" s="30">
        <v>0.60660000000000003</v>
      </c>
      <c r="I90" s="30">
        <v>11.339559585012392</v>
      </c>
      <c r="J90" s="30">
        <f t="shared" si="18"/>
        <v>7.414384454696215</v>
      </c>
      <c r="K90" s="30">
        <v>-2.1787085887507209</v>
      </c>
      <c r="L90" s="72">
        <f t="shared" si="19"/>
        <v>39.662612789329152</v>
      </c>
      <c r="M90" s="97">
        <v>1.6086000000000003</v>
      </c>
      <c r="N90" s="30">
        <v>2.8674000000000004</v>
      </c>
      <c r="O90" s="30">
        <v>0.012</v>
      </c>
      <c r="P90" s="30">
        <v>0.93420000000000003</v>
      </c>
      <c r="Q90" s="30">
        <v>0.6744</v>
      </c>
      <c r="R90" s="30">
        <v>11.371229868392438</v>
      </c>
      <c r="S90" s="30">
        <f t="shared" si="20"/>
        <v>0.4192465497948526</v>
      </c>
      <c r="T90" s="30">
        <v>-2.3593782244338812</v>
      </c>
      <c r="U90" s="72">
        <f t="shared" si="21"/>
        <v>41.924654979485261</v>
      </c>
      <c r="V90" s="46">
        <f t="shared" si="22"/>
        <v>0.079200000000000159</v>
      </c>
      <c r="W90" s="46">
        <f t="shared" si="23"/>
        <v>0.067799999999999971</v>
      </c>
    </row>
    <row r="91">
      <c r="A91" s="42" t="s">
        <v>139</v>
      </c>
      <c r="B91" s="138">
        <v>1</v>
      </c>
      <c r="C91" s="119">
        <v>11.02</v>
      </c>
      <c r="D91" s="30">
        <v>2.9345999999999997</v>
      </c>
      <c r="E91" s="30">
        <v>6.0114000000000019</v>
      </c>
      <c r="F91" s="30">
        <v>0.022200000000000004</v>
      </c>
      <c r="G91" s="30">
        <v>1.6074000000000002</v>
      </c>
      <c r="H91" s="30">
        <v>1.3271999999999999</v>
      </c>
      <c r="I91" s="30">
        <v>11.257892670696593</v>
      </c>
      <c r="J91" s="30">
        <f t="shared" si="18"/>
        <v>3.8362613885015318</v>
      </c>
      <c r="K91" s="30">
        <v>-2.9040403650207436</v>
      </c>
      <c r="L91" s="72">
        <f t="shared" si="19"/>
        <v>45.225925168677165</v>
      </c>
      <c r="M91" s="97">
        <v>3.0546666666666669</v>
      </c>
      <c r="N91" s="30">
        <v>4.554666666666666</v>
      </c>
      <c r="O91" s="30">
        <v>0.026666666666666665</v>
      </c>
      <c r="P91" s="30">
        <v>1.5553333333333335</v>
      </c>
      <c r="Q91" s="30">
        <v>1.4993333333333334</v>
      </c>
      <c r="R91" s="30">
        <v>11.550969029558694</v>
      </c>
      <c r="S91" s="30">
        <f t="shared" si="20"/>
        <v>0.49083369707551289</v>
      </c>
      <c r="T91" s="30">
        <v>-3.0516098309724669</v>
      </c>
      <c r="U91" s="72">
        <f t="shared" si="21"/>
        <v>49.083369707551292</v>
      </c>
      <c r="V91" s="46">
        <f t="shared" si="22"/>
        <v>0.12006666666666721</v>
      </c>
      <c r="W91" s="46">
        <f t="shared" si="23"/>
        <v>0.17213333333333347</v>
      </c>
    </row>
    <row r="92">
      <c r="A92" s="42" t="s">
        <v>139</v>
      </c>
      <c r="B92" s="138">
        <v>1</v>
      </c>
      <c r="C92" s="119">
        <v>11.039999999999999</v>
      </c>
      <c r="D92" s="30">
        <v>3.2135999999999996</v>
      </c>
      <c r="E92" s="30">
        <v>6.0486000000000004</v>
      </c>
      <c r="F92" s="30">
        <v>0.032400000000000005</v>
      </c>
      <c r="G92" s="30">
        <v>1.8198000000000003</v>
      </c>
      <c r="H92" s="30">
        <v>1.3938000000000001</v>
      </c>
      <c r="I92" s="30">
        <v>11.642324506300442</v>
      </c>
      <c r="J92" s="30">
        <f t="shared" si="18"/>
        <v>3.622829383339695</v>
      </c>
      <c r="K92" s="30">
        <v>-2.4398369790918872</v>
      </c>
      <c r="L92" s="72">
        <f t="shared" si="19"/>
        <v>43.371919342793142</v>
      </c>
      <c r="M92" s="97">
        <v>3.1646666666666667</v>
      </c>
      <c r="N92" s="30">
        <v>5.1086666666666671</v>
      </c>
      <c r="O92" s="30">
        <v>0.034000000000000002</v>
      </c>
      <c r="P92" s="30">
        <v>1.7306666666666668</v>
      </c>
      <c r="Q92" s="30">
        <v>1.4340000000000002</v>
      </c>
      <c r="R92" s="30">
        <v>11.628427493268831</v>
      </c>
      <c r="S92" s="30">
        <f t="shared" si="20"/>
        <v>0.45312829155255957</v>
      </c>
      <c r="T92" s="30">
        <v>-2.4818375329473898</v>
      </c>
      <c r="U92" s="72">
        <f t="shared" si="21"/>
        <v>45.312829155255955</v>
      </c>
      <c r="V92" s="46">
        <f t="shared" si="22"/>
        <v>-0.048933333333332829</v>
      </c>
      <c r="W92" s="46">
        <f t="shared" si="23"/>
        <v>0.040200000000000014</v>
      </c>
    </row>
    <row r="93">
      <c r="A93" s="42" t="s">
        <v>139</v>
      </c>
      <c r="B93" s="138">
        <v>2</v>
      </c>
      <c r="C93" s="119">
        <v>11.109999999999999</v>
      </c>
      <c r="D93" s="30">
        <v>1.161</v>
      </c>
      <c r="E93" s="30">
        <v>2.3340000000000001</v>
      </c>
      <c r="F93" s="30">
        <v>0.0090000000000000011</v>
      </c>
      <c r="G93" s="30">
        <v>0.61560000000000004</v>
      </c>
      <c r="H93" s="30">
        <v>0.5454</v>
      </c>
      <c r="I93" s="30">
        <v>11.709430179767304</v>
      </c>
      <c r="J93" s="30">
        <f t="shared" si="18"/>
        <v>10.085641843038161</v>
      </c>
      <c r="K93" s="30">
        <v>-2.3492178921718199</v>
      </c>
      <c r="L93" s="72">
        <f t="shared" si="19"/>
        <v>46.97674418604651</v>
      </c>
      <c r="M93" s="97">
        <v>1.2635999999999998</v>
      </c>
      <c r="N93" s="30">
        <v>2.4624000000000001</v>
      </c>
      <c r="O93" s="30">
        <v>0.017400000000000006</v>
      </c>
      <c r="P93" s="30">
        <v>0.64079999999999993</v>
      </c>
      <c r="Q93" s="30">
        <v>0.62280000000000002</v>
      </c>
      <c r="R93" s="30">
        <v>11.898037398602099</v>
      </c>
      <c r="S93" s="30">
        <f t="shared" si="20"/>
        <v>0.49287749287749294</v>
      </c>
      <c r="T93" s="30">
        <v>-2.488841873038627</v>
      </c>
      <c r="U93" s="72">
        <f t="shared" si="21"/>
        <v>49.287749287749293</v>
      </c>
      <c r="V93" s="46">
        <f t="shared" si="22"/>
        <v>0.1025999999999998</v>
      </c>
      <c r="W93" s="46">
        <f t="shared" si="23"/>
        <v>0.077400000000000024</v>
      </c>
    </row>
    <row r="94">
      <c r="A94" s="42" t="s">
        <v>139</v>
      </c>
      <c r="B94" s="138">
        <v>1</v>
      </c>
      <c r="C94" s="140">
        <v>11.5</v>
      </c>
      <c r="D94" s="30">
        <v>2.4493999999999998</v>
      </c>
      <c r="E94" s="30">
        <v>4.9916</v>
      </c>
      <c r="F94" s="30">
        <v>0.021400000000000002</v>
      </c>
      <c r="G94" s="30">
        <v>1.2557999999999998</v>
      </c>
      <c r="H94" s="30">
        <v>1.1936000000000002</v>
      </c>
      <c r="I94" s="30">
        <v>11.633234077105095</v>
      </c>
      <c r="J94" s="30">
        <f t="shared" si="18"/>
        <v>4.7494219307198078</v>
      </c>
      <c r="K94" s="30">
        <v>-2.4185627442941744</v>
      </c>
      <c r="L94" s="72">
        <f t="shared" si="19"/>
        <v>48.730301298277141</v>
      </c>
      <c r="M94" s="97">
        <v>2.1186666666666669</v>
      </c>
      <c r="N94" s="30">
        <v>4.1286666666666676</v>
      </c>
      <c r="O94" s="30">
        <v>0.027333333333333338</v>
      </c>
      <c r="P94" s="30">
        <v>1.1093333333333335</v>
      </c>
      <c r="Q94" s="30">
        <v>1.0093333333333334</v>
      </c>
      <c r="R94" s="30">
        <v>11.913210232565914</v>
      </c>
      <c r="S94" s="30">
        <f t="shared" si="20"/>
        <v>0.47640025173064821</v>
      </c>
      <c r="T94" s="30">
        <v>-2.38928262737143</v>
      </c>
      <c r="U94" s="72">
        <f t="shared" si="21"/>
        <v>47.640025173064821</v>
      </c>
      <c r="V94" s="46">
        <f t="shared" si="22"/>
        <v>-0.33073333333333288</v>
      </c>
      <c r="W94" s="46">
        <f t="shared" si="23"/>
        <v>-0.1842666666666668</v>
      </c>
    </row>
    <row r="95" ht="15">
      <c r="A95" s="81" t="s">
        <v>138</v>
      </c>
      <c r="B95" s="141">
        <v>1</v>
      </c>
      <c r="C95" s="142">
        <v>11.800000000000001</v>
      </c>
      <c r="D95" s="30">
        <v>3.2273333333333332</v>
      </c>
      <c r="E95" s="30">
        <v>7.0284444444444443</v>
      </c>
      <c r="F95" s="30">
        <v>0.02933333333333334</v>
      </c>
      <c r="G95" s="30">
        <v>1.7355555555555557</v>
      </c>
      <c r="H95" s="30">
        <v>1.4917777777777776</v>
      </c>
      <c r="I95" s="30">
        <v>11.507396719945737</v>
      </c>
      <c r="J95" s="30">
        <f t="shared" si="18"/>
        <v>3.5656052633585222</v>
      </c>
      <c r="K95" s="30">
        <v>-2.6744806302976376</v>
      </c>
      <c r="L95" s="72">
        <f t="shared" si="19"/>
        <v>46.223232114576881</v>
      </c>
      <c r="M95" s="97">
        <v>3.4764000000000004</v>
      </c>
      <c r="N95" s="30">
        <v>6.2034000000000002</v>
      </c>
      <c r="O95" s="30">
        <v>0.033000000000000008</v>
      </c>
      <c r="P95" s="30">
        <v>1.9008000000000003</v>
      </c>
      <c r="Q95" s="30">
        <v>1.5756000000000001</v>
      </c>
      <c r="R95" s="30">
        <v>11.408904297726043</v>
      </c>
      <c r="S95" s="30">
        <f t="shared" si="20"/>
        <v>0.45322747670003449</v>
      </c>
      <c r="T95" s="30">
        <v>-2.8010682490688761</v>
      </c>
      <c r="U95" s="72">
        <f t="shared" si="21"/>
        <v>45.322747670003452</v>
      </c>
      <c r="V95" s="46">
        <f t="shared" si="22"/>
        <v>0.24906666666666721</v>
      </c>
      <c r="W95" s="46">
        <f t="shared" si="23"/>
        <v>0.083822222222222464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lessThan" id="{0058003E-0008-4387-92F6-00DE006C0077}">
            <xm:f>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V2:W95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8" activeCellId="0" sqref="A8"/>
    </sheetView>
  </sheetViews>
  <sheetFormatPr baseColWidth="10" defaultRowHeight="14.4"/>
  <cols>
    <col customWidth="1" min="1" max="1" style="43" width="6.33203125"/>
    <col bestFit="1" customWidth="1" min="2" max="2" style="43" width="5.33203125"/>
    <col bestFit="1" customWidth="1" min="3" max="3" width="6"/>
    <col bestFit="1" customWidth="1" min="4" max="4" width="5.5546875"/>
    <col bestFit="1" customWidth="1" min="5" max="5" width="7.6640625"/>
    <col bestFit="1" customWidth="1" min="6" max="6" width="4.5546875"/>
    <col bestFit="1" customWidth="1" min="7" max="7" width="5.33203125"/>
    <col bestFit="1" customWidth="1" min="8" max="8" width="7.33203125"/>
    <col bestFit="1" customWidth="1" min="9" max="9" width="9.6640625"/>
    <col bestFit="1" customWidth="1" min="10" max="10" width="10.33203125"/>
    <col bestFit="1" customWidth="1" min="11" max="11" width="5.5546875"/>
    <col bestFit="1" customWidth="1" min="12" max="12" width="6.6640625"/>
    <col bestFit="1" customWidth="1" min="13" max="13" width="7.33203125"/>
    <col bestFit="1" customWidth="1" min="14" max="14" width="9.6640625"/>
    <col bestFit="1" customWidth="1" min="15" max="15" width="10.33203125"/>
    <col bestFit="1" customWidth="1" min="16" max="16" width="5.5546875"/>
    <col bestFit="1" customWidth="1" min="17" max="17" width="6.6640625"/>
    <col bestFit="1" customWidth="1" min="18" max="18" width="7.33203125"/>
    <col bestFit="1" customWidth="1" min="19" max="19" width="9.6640625"/>
    <col bestFit="1" customWidth="1" min="20" max="20" width="10.33203125"/>
    <col bestFit="1" customWidth="1" min="21" max="21" width="5.5546875"/>
    <col bestFit="1" customWidth="1" min="22" max="22" width="6.6640625"/>
    <col bestFit="1" customWidth="1" min="23" max="23" width="7.33203125"/>
    <col bestFit="1" customWidth="1" min="24" max="24" width="9.6640625"/>
    <col bestFit="1" customWidth="1" min="25" max="25" width="10.33203125"/>
    <col bestFit="1" customWidth="1" min="26" max="26" width="5.5546875"/>
    <col bestFit="1" customWidth="1" min="27" max="27" width="6.6640625"/>
    <col bestFit="1" customWidth="1" min="28" max="28" width="7.33203125"/>
    <col bestFit="1" customWidth="1" min="29" max="29" width="9.6640625"/>
    <col bestFit="1" customWidth="1" min="30" max="30" width="10.33203125"/>
    <col bestFit="1" customWidth="1" min="31" max="31" width="5.5546875"/>
    <col bestFit="1" customWidth="1" min="32" max="32" width="6.6640625"/>
  </cols>
  <sheetData>
    <row r="1" s="113" customFormat="1" ht="13.5" customHeight="1">
      <c r="A1" s="1" t="s">
        <v>0</v>
      </c>
      <c r="B1" s="143" t="s">
        <v>1</v>
      </c>
      <c r="C1" s="144" t="s">
        <v>2</v>
      </c>
      <c r="D1" s="15" t="s">
        <v>46</v>
      </c>
      <c r="E1" s="16" t="s">
        <v>47</v>
      </c>
      <c r="F1" s="16" t="s">
        <v>48</v>
      </c>
      <c r="G1" s="16" t="s">
        <v>49</v>
      </c>
      <c r="H1" s="18" t="s">
        <v>50</v>
      </c>
      <c r="I1" s="19" t="s">
        <v>51</v>
      </c>
      <c r="J1" s="19" t="s">
        <v>52</v>
      </c>
      <c r="K1" s="19" t="s">
        <v>53</v>
      </c>
      <c r="L1" s="19" t="s">
        <v>54</v>
      </c>
      <c r="M1" s="21" t="s">
        <v>55</v>
      </c>
      <c r="N1" s="19" t="s">
        <v>56</v>
      </c>
      <c r="O1" s="19" t="s">
        <v>57</v>
      </c>
      <c r="P1" s="19" t="s">
        <v>58</v>
      </c>
      <c r="Q1" s="20" t="s">
        <v>59</v>
      </c>
      <c r="R1" s="21" t="s">
        <v>60</v>
      </c>
      <c r="S1" s="19" t="s">
        <v>61</v>
      </c>
      <c r="T1" s="19" t="s">
        <v>62</v>
      </c>
      <c r="U1" s="19" t="s">
        <v>63</v>
      </c>
      <c r="V1" s="20" t="s">
        <v>64</v>
      </c>
      <c r="W1" s="19" t="s">
        <v>65</v>
      </c>
      <c r="X1" s="19" t="s">
        <v>66</v>
      </c>
      <c r="Y1" s="19" t="s">
        <v>67</v>
      </c>
      <c r="Z1" s="19" t="s">
        <v>68</v>
      </c>
      <c r="AA1" s="20" t="s">
        <v>69</v>
      </c>
      <c r="AB1" s="21" t="s">
        <v>70</v>
      </c>
      <c r="AC1" s="19" t="s">
        <v>71</v>
      </c>
      <c r="AD1" s="19" t="s">
        <v>72</v>
      </c>
      <c r="AE1" s="19" t="s">
        <v>73</v>
      </c>
      <c r="AF1" s="20" t="s">
        <v>74</v>
      </c>
    </row>
    <row r="2" s="101" customFormat="1">
      <c r="A2" s="52" t="s">
        <v>138</v>
      </c>
      <c r="B2" s="116">
        <v>1</v>
      </c>
      <c r="C2" s="145">
        <v>6</v>
      </c>
      <c r="D2" s="30">
        <v>7.7040495500517103</v>
      </c>
      <c r="E2" s="30">
        <v>-0.25948180755843475</v>
      </c>
      <c r="F2" s="30">
        <v>0.17863552606697453</v>
      </c>
      <c r="G2" s="30">
        <v>0.17989399484679897</v>
      </c>
      <c r="H2" s="97">
        <v>4.9359999999999999</v>
      </c>
      <c r="I2" s="30">
        <v>2.9100000000000001</v>
      </c>
      <c r="J2" s="30">
        <v>8.2691902644422068</v>
      </c>
      <c r="K2" s="30">
        <v>1.9204623324043577</v>
      </c>
      <c r="L2" s="30">
        <v>-3.3280599573914</v>
      </c>
      <c r="M2" s="120">
        <v>2.0660000000000003</v>
      </c>
      <c r="N2" s="30">
        <v>1.0660000000000001</v>
      </c>
      <c r="O2" s="30">
        <v>18.770230523552147</v>
      </c>
      <c r="P2" s="30">
        <v>9.1538298779377723</v>
      </c>
      <c r="Q2" s="39">
        <v>-2.0975708593906943</v>
      </c>
      <c r="R2" s="120">
        <v>3.2805000000000004</v>
      </c>
      <c r="S2" s="30">
        <v>1.8105000000000002</v>
      </c>
      <c r="T2" s="30">
        <v>30.505278168477183</v>
      </c>
      <c r="U2" s="30">
        <v>10.571486540603674</v>
      </c>
      <c r="V2" s="39">
        <v>-2.1440549753095324</v>
      </c>
      <c r="W2" s="30">
        <v>4.0979999999999999</v>
      </c>
      <c r="X2" s="30">
        <v>1.9640000000000004</v>
      </c>
      <c r="Y2" s="30">
        <v>37.418190562808235</v>
      </c>
      <c r="Z2" s="30">
        <v>9.6437659025032634</v>
      </c>
      <c r="AA2" s="39">
        <v>-2.260531853242608</v>
      </c>
      <c r="AB2" s="120">
        <v>2.8230000000000004</v>
      </c>
      <c r="AC2" s="30">
        <v>1.4265000000000001</v>
      </c>
      <c r="AD2" s="30">
        <v>46.212346495924095</v>
      </c>
      <c r="AE2" s="30">
        <v>16.597596669787187</v>
      </c>
      <c r="AF2" s="39">
        <v>-2.2103435430788498</v>
      </c>
    </row>
    <row r="3">
      <c r="A3" s="42" t="s">
        <v>139</v>
      </c>
      <c r="B3" s="43">
        <v>1</v>
      </c>
      <c r="C3" s="98">
        <v>6</v>
      </c>
      <c r="D3" s="30">
        <v>1.3378982612823416</v>
      </c>
      <c r="E3" s="30">
        <v>0.42572127607718713</v>
      </c>
      <c r="F3" s="30">
        <v>0.34493560650664656</v>
      </c>
      <c r="G3" s="30">
        <v>0.34527797513312108</v>
      </c>
      <c r="H3" s="97">
        <v>3.54</v>
      </c>
      <c r="I3" s="30">
        <v>1.6640000000000001</v>
      </c>
      <c r="J3" s="30">
        <v>14.491183579530997</v>
      </c>
      <c r="K3" s="30">
        <v>4.0975592914885688</v>
      </c>
      <c r="L3" s="30">
        <v>-2.4238817550585194</v>
      </c>
      <c r="M3" s="120">
        <v>4.9371999999999998</v>
      </c>
      <c r="N3" s="30">
        <v>2.4332000000000003</v>
      </c>
      <c r="O3" s="30">
        <v>22.237437768654736</v>
      </c>
      <c r="P3" s="30">
        <v>4.5075248882450145</v>
      </c>
      <c r="Q3" s="39">
        <v>-2.6043813673836711</v>
      </c>
      <c r="R3" s="120">
        <v>5.9939999999999998</v>
      </c>
      <c r="S3" s="30">
        <v>2.8334999999999999</v>
      </c>
      <c r="T3" s="30">
        <v>32.288375718407352</v>
      </c>
      <c r="U3" s="30">
        <v>5.5266887136961937</v>
      </c>
      <c r="V3" s="39">
        <v>-2.691236136974573</v>
      </c>
      <c r="W3" s="30">
        <v>7.0043999999999995</v>
      </c>
      <c r="X3" s="30">
        <v>4.0080000000000009</v>
      </c>
      <c r="Y3" s="30">
        <v>41.577916089725967</v>
      </c>
      <c r="Z3" s="30">
        <v>6.4622663118157195</v>
      </c>
      <c r="AA3" s="39">
        <v>-2.7298140285100421</v>
      </c>
      <c r="AB3" s="120">
        <v>6.7932000000000006</v>
      </c>
      <c r="AC3" s="30">
        <v>3.2772000000000006</v>
      </c>
      <c r="AD3" s="30">
        <v>49.668615415014635</v>
      </c>
      <c r="AE3" s="30">
        <v>7.6465714731968886</v>
      </c>
      <c r="AF3" s="39">
        <v>-2.5367078192868289</v>
      </c>
    </row>
    <row r="4">
      <c r="A4" s="42" t="s">
        <v>138</v>
      </c>
      <c r="B4" s="121">
        <v>1</v>
      </c>
      <c r="C4" s="146">
        <v>6</v>
      </c>
      <c r="D4" s="30">
        <v>1.3254866436440853</v>
      </c>
      <c r="E4" s="30">
        <v>0.38485893086116035</v>
      </c>
      <c r="F4" s="30">
        <v>0.33388019326407947</v>
      </c>
      <c r="G4" s="30">
        <v>0.33494979443657519</v>
      </c>
      <c r="H4" s="97">
        <v>3.8188000000000004</v>
      </c>
      <c r="I4" s="30">
        <v>1.9227999999999998</v>
      </c>
      <c r="J4" s="30">
        <v>10.710710097180783</v>
      </c>
      <c r="K4" s="30">
        <v>2.8502150574033736</v>
      </c>
      <c r="L4" s="30">
        <v>-2.3386375431526765</v>
      </c>
      <c r="M4" s="120">
        <v>4.0236000000000001</v>
      </c>
      <c r="N4" s="30">
        <v>1.7964000000000002</v>
      </c>
      <c r="O4" s="30">
        <v>22.012629919761004</v>
      </c>
      <c r="P4" s="30">
        <v>5.6792439675861743</v>
      </c>
      <c r="Q4" s="39">
        <v>-2.5712855018603449</v>
      </c>
      <c r="R4" s="120">
        <v>4.7495999999999992</v>
      </c>
      <c r="S4" s="30">
        <v>2.1252000000000004</v>
      </c>
      <c r="T4" s="30">
        <v>31.436458992946779</v>
      </c>
      <c r="U4" s="30">
        <v>6.7218111684289905</v>
      </c>
      <c r="V4" s="39">
        <v>-2.4165227241398397</v>
      </c>
      <c r="W4" s="30">
        <v>5.0255999999999998</v>
      </c>
      <c r="X4" s="30">
        <v>2.2787999999999999</v>
      </c>
      <c r="Y4" s="30">
        <v>41.388983138669879</v>
      </c>
      <c r="Z4" s="30">
        <v>8.2767953470292035</v>
      </c>
      <c r="AA4" s="39">
        <v>-2.499592636829175</v>
      </c>
      <c r="AB4" s="120">
        <v>6.4308000000000005</v>
      </c>
      <c r="AC4" s="30">
        <v>2.8284000000000002</v>
      </c>
      <c r="AD4" s="30">
        <v>46.430462402404835</v>
      </c>
      <c r="AE4" s="30">
        <v>7.8938872918411507</v>
      </c>
      <c r="AF4" s="39">
        <v>-2.5635845612087249</v>
      </c>
    </row>
    <row r="5">
      <c r="A5" s="42" t="s">
        <v>139</v>
      </c>
      <c r="B5" s="43">
        <v>2</v>
      </c>
      <c r="C5" s="98">
        <v>6.0199999999999996</v>
      </c>
      <c r="D5" s="30">
        <v>0.057953316676654328</v>
      </c>
      <c r="E5" s="30">
        <v>1.2203211996336043</v>
      </c>
      <c r="F5" s="30">
        <v>0.35585402972329716</v>
      </c>
      <c r="G5" s="30">
        <v>0.35730879845073515</v>
      </c>
      <c r="H5" s="97">
        <v>1.6352</v>
      </c>
      <c r="I5" s="30">
        <v>0.9151999999999999</v>
      </c>
      <c r="J5" s="30">
        <v>9.6130352019083656</v>
      </c>
      <c r="K5" s="30">
        <v>6.1955642900565362</v>
      </c>
      <c r="L5" s="30">
        <v>-2.1340943054182646</v>
      </c>
      <c r="M5" s="120">
        <v>1.7063999999999999</v>
      </c>
      <c r="N5" s="30">
        <v>0.8256</v>
      </c>
      <c r="O5" s="30">
        <v>18.905900575612272</v>
      </c>
      <c r="P5" s="30">
        <v>11.111852426846553</v>
      </c>
      <c r="Q5" s="39">
        <v>-2.3552656971329071</v>
      </c>
      <c r="R5" s="120">
        <v>2.7048000000000001</v>
      </c>
      <c r="S5" s="30">
        <v>1.3932</v>
      </c>
      <c r="T5" s="30">
        <v>27.562571893040428</v>
      </c>
      <c r="U5" s="30">
        <v>10.195138504480436</v>
      </c>
      <c r="V5" s="39">
        <v>-2.1551999114729647</v>
      </c>
      <c r="W5" s="30">
        <v>6.2951999999999995</v>
      </c>
      <c r="X5" s="30">
        <v>3.0312000000000001</v>
      </c>
      <c r="Y5" s="30">
        <v>37.716338000894659</v>
      </c>
      <c r="Z5" s="30">
        <v>7.8188852265450066</v>
      </c>
      <c r="AA5" s="39">
        <v>-2.6259439471697705</v>
      </c>
      <c r="AB5" s="120">
        <v>5.1096000000000004</v>
      </c>
      <c r="AC5" s="30">
        <v>2.6328000000000005</v>
      </c>
      <c r="AD5" s="30">
        <v>44.763520312088033</v>
      </c>
      <c r="AE5" s="30">
        <v>10.408058977723062</v>
      </c>
      <c r="AF5" s="39">
        <v>-2.6558358113043399</v>
      </c>
    </row>
    <row r="6">
      <c r="A6" s="42" t="s">
        <v>138</v>
      </c>
      <c r="B6" s="123">
        <v>2</v>
      </c>
      <c r="C6" s="146">
        <v>6.0199999999999996</v>
      </c>
      <c r="D6" s="30">
        <v>5.762766226176236</v>
      </c>
      <c r="E6" s="30">
        <v>0.13605133983635093</v>
      </c>
      <c r="F6" s="30">
        <v>0.072578315721823383</v>
      </c>
      <c r="G6" s="30">
        <v>0.072595899302801095</v>
      </c>
      <c r="H6" s="97">
        <v>7.9027999999999992</v>
      </c>
      <c r="I6" s="30">
        <v>3.9543999999999997</v>
      </c>
      <c r="J6" s="30">
        <v>9.8543708956239051</v>
      </c>
      <c r="K6" s="30">
        <v>1.4014245077304035</v>
      </c>
      <c r="L6" s="30">
        <v>-2.2655845585652434</v>
      </c>
      <c r="M6" s="120">
        <v>9.307500000000001</v>
      </c>
      <c r="N6" s="30">
        <v>4.5495000000000001</v>
      </c>
      <c r="O6" s="30">
        <v>18.316102295807436</v>
      </c>
      <c r="P6" s="30">
        <v>2.0063956453469753</v>
      </c>
      <c r="Q6" s="39">
        <v>-3.2633693642265742</v>
      </c>
      <c r="R6" s="120">
        <v>8.3864999999999998</v>
      </c>
      <c r="S6" s="30">
        <v>3.7575000000000003</v>
      </c>
      <c r="T6" s="30">
        <v>28.478806825213145</v>
      </c>
      <c r="U6" s="30">
        <v>3.4725665180707654</v>
      </c>
      <c r="V6" s="39">
        <v>-2.6242163557594309</v>
      </c>
      <c r="W6" s="30">
        <v>8.6208000000000009</v>
      </c>
      <c r="X6" s="30">
        <v>4.5768000000000004</v>
      </c>
      <c r="Y6" s="30">
        <v>37.878277410170348</v>
      </c>
      <c r="Z6" s="30">
        <v>4.7625303554468834</v>
      </c>
      <c r="AA6" s="39">
        <v>-2.6590581178413117</v>
      </c>
      <c r="AB6" s="120">
        <v>10.473600000000001</v>
      </c>
      <c r="AC6" s="30">
        <v>5.3171999999999997</v>
      </c>
      <c r="AD6" s="30">
        <v>46.596424254734664</v>
      </c>
      <c r="AE6" s="30">
        <v>4.8029671151371716</v>
      </c>
      <c r="AF6" s="39">
        <v>-2.9084839018737503</v>
      </c>
    </row>
    <row r="7">
      <c r="A7" s="42" t="s">
        <v>139</v>
      </c>
      <c r="B7" s="43">
        <v>2</v>
      </c>
      <c r="C7" s="98">
        <v>6.0300000000000002</v>
      </c>
      <c r="D7" s="30">
        <v>2.2042523706833856</v>
      </c>
      <c r="E7" s="30">
        <v>0.41377564549471363</v>
      </c>
      <c r="F7" s="30">
        <v>0.36239459797612228</v>
      </c>
      <c r="G7" s="30">
        <v>0.3624133182097049</v>
      </c>
      <c r="H7" s="97">
        <v>5.7072000000000003</v>
      </c>
      <c r="I7" s="30">
        <v>2.5584000000000002</v>
      </c>
      <c r="J7" s="30">
        <v>9.7871097042305486</v>
      </c>
      <c r="K7" s="30">
        <v>1.867372374788681</v>
      </c>
      <c r="L7" s="30">
        <v>-2.9050730314845814</v>
      </c>
      <c r="M7" s="120">
        <v>7.9320000000000013</v>
      </c>
      <c r="N7" s="30">
        <v>3.7960000000000007</v>
      </c>
      <c r="O7" s="30">
        <v>19.877816420084979</v>
      </c>
      <c r="P7" s="30">
        <v>2.7435144735965302</v>
      </c>
      <c r="Q7" s="39">
        <v>-3.4394159055723921</v>
      </c>
      <c r="R7" s="120">
        <v>8.6715</v>
      </c>
      <c r="S7" s="30">
        <v>3.6645000000000003</v>
      </c>
      <c r="T7" s="30">
        <v>29.212229802608832</v>
      </c>
      <c r="U7" s="30">
        <v>3.8991592394358374</v>
      </c>
      <c r="V7" s="39">
        <v>-2.8515344949153296</v>
      </c>
      <c r="W7" s="30">
        <v>10.4124</v>
      </c>
      <c r="X7" s="30">
        <v>4.5468000000000011</v>
      </c>
      <c r="Y7" s="30">
        <v>39.210325773363152</v>
      </c>
      <c r="Z7" s="30">
        <v>4.117299564801197</v>
      </c>
      <c r="AA7" s="39">
        <v>-2.9337043971431829</v>
      </c>
      <c r="AB7" s="120">
        <v>10.296000000000001</v>
      </c>
      <c r="AC7" s="30">
        <v>3.9359999999999999</v>
      </c>
      <c r="AD7" s="30">
        <v>46.667914447615303</v>
      </c>
      <c r="AE7" s="30">
        <v>4.5630413057460428</v>
      </c>
      <c r="AF7" s="39">
        <v>-2.8181740707631162</v>
      </c>
    </row>
    <row r="8">
      <c r="A8" s="42" t="s">
        <v>139</v>
      </c>
      <c r="B8" s="43">
        <v>1</v>
      </c>
      <c r="C8" s="98">
        <v>6.0300000000000002</v>
      </c>
      <c r="D8" s="30">
        <v>4.8957485211931155</v>
      </c>
      <c r="E8" s="30">
        <v>0.12259883167355928</v>
      </c>
      <c r="F8" s="30">
        <v>0.032455619457631424</v>
      </c>
      <c r="G8" s="30">
        <v>0.032500792726609412</v>
      </c>
      <c r="H8" s="97">
        <v>6.3287999999999993</v>
      </c>
      <c r="I8" s="30">
        <v>2.7371999999999996</v>
      </c>
      <c r="J8" s="30">
        <v>9.5792810377719722</v>
      </c>
      <c r="K8" s="30">
        <v>1.5268643351403732</v>
      </c>
      <c r="L8" s="30">
        <v>-2.9323764894918098</v>
      </c>
      <c r="M8" s="120">
        <v>9.128400000000001</v>
      </c>
      <c r="N8" s="30">
        <v>3.6612000000000009</v>
      </c>
      <c r="O8" s="30">
        <v>18.053250925736513</v>
      </c>
      <c r="P8" s="30">
        <v>2.0228434726504836</v>
      </c>
      <c r="Q8" s="39">
        <v>-2.8057270462058423</v>
      </c>
      <c r="R8" s="120">
        <v>4.0992000000000006</v>
      </c>
      <c r="S8" s="30">
        <v>1.7975999999999999</v>
      </c>
      <c r="T8" s="30">
        <v>28.353583180592324</v>
      </c>
      <c r="U8" s="30">
        <v>7.0246856121250918</v>
      </c>
      <c r="V8" s="39">
        <v>-2.3805186647725618</v>
      </c>
      <c r="W8" s="30">
        <v>6.6480000000000006</v>
      </c>
      <c r="X8" s="30">
        <v>2.9664000000000006</v>
      </c>
      <c r="Y8" s="30">
        <v>36.13752688927093</v>
      </c>
      <c r="Z8" s="30">
        <v>5.6642443307070121</v>
      </c>
      <c r="AA8" s="39">
        <v>-2.6343752057299734</v>
      </c>
      <c r="AB8" s="120">
        <v>9.9719999999999995</v>
      </c>
      <c r="AC8" s="30">
        <v>4.4904000000000002</v>
      </c>
      <c r="AD8" s="30">
        <v>42.960113227737459</v>
      </c>
      <c r="AE8" s="30">
        <v>4.4636627100161856</v>
      </c>
      <c r="AF8" s="39">
        <v>-3.0951327643917637</v>
      </c>
    </row>
    <row r="9">
      <c r="A9" s="42" t="s">
        <v>139</v>
      </c>
      <c r="B9" s="43">
        <v>1</v>
      </c>
      <c r="C9" s="98">
        <v>6.0599999999999996</v>
      </c>
      <c r="D9" s="30">
        <v>1.9863584131717096</v>
      </c>
      <c r="E9" s="30">
        <v>0.46944688441470345</v>
      </c>
      <c r="F9" s="30">
        <v>0.25086319473781515</v>
      </c>
      <c r="G9" s="30">
        <v>0.25087127052996755</v>
      </c>
      <c r="H9" s="97">
        <v>5.0847999999999995</v>
      </c>
      <c r="I9" s="30">
        <v>2.6079999999999997</v>
      </c>
      <c r="J9" s="30">
        <v>8.5199411983391151</v>
      </c>
      <c r="K9" s="30">
        <v>1.8336442370186075</v>
      </c>
      <c r="L9" s="30">
        <v>-2.656728092758402</v>
      </c>
      <c r="M9" s="120">
        <v>9.0527999999999995</v>
      </c>
      <c r="N9" s="30">
        <v>5.7312000000000003</v>
      </c>
      <c r="O9" s="30">
        <v>17.30072373638729</v>
      </c>
      <c r="P9" s="30">
        <v>2.5276848650728345</v>
      </c>
      <c r="Q9" s="39">
        <v>-3.1256856210528867</v>
      </c>
      <c r="R9" s="120">
        <v>10.486799999999999</v>
      </c>
      <c r="S9" s="30">
        <v>5.7888000000000002</v>
      </c>
      <c r="T9" s="30">
        <v>27.748502716289703</v>
      </c>
      <c r="U9" s="30">
        <v>3.1897266760246423</v>
      </c>
      <c r="V9" s="39">
        <v>-2.9880893605574803</v>
      </c>
      <c r="W9" s="30">
        <v>7.2048000000000005</v>
      </c>
      <c r="X9" s="30">
        <v>3.8304</v>
      </c>
      <c r="Y9" s="30">
        <v>33.924536220076774</v>
      </c>
      <c r="Z9" s="30">
        <v>5.3108271106429426</v>
      </c>
      <c r="AA9" s="39">
        <v>-2.3719219413359349</v>
      </c>
      <c r="AB9" s="120">
        <v>12.449999999999999</v>
      </c>
      <c r="AC9" s="30">
        <v>6.4212000000000007</v>
      </c>
      <c r="AD9" s="30">
        <v>41.750728277456943</v>
      </c>
      <c r="AE9" s="30">
        <v>3.5608838985758213</v>
      </c>
      <c r="AF9" s="39">
        <v>-2.6197356065620361</v>
      </c>
    </row>
    <row r="10">
      <c r="A10" s="42" t="s">
        <v>138</v>
      </c>
      <c r="B10" s="43">
        <v>2</v>
      </c>
      <c r="C10" s="147">
        <v>6.0599999999999996</v>
      </c>
      <c r="D10" s="30">
        <v>1.5159247430851039</v>
      </c>
      <c r="E10" s="30">
        <v>0.36382221892329136</v>
      </c>
      <c r="F10" s="30">
        <v>0.46427707499631754</v>
      </c>
      <c r="G10" s="30">
        <v>0.46567472193266968</v>
      </c>
      <c r="H10" s="97">
        <v>4.1968000000000005</v>
      </c>
      <c r="I10" s="30">
        <v>1.8879999999999999</v>
      </c>
      <c r="J10" s="30">
        <v>10.563073224200348</v>
      </c>
      <c r="K10" s="30">
        <v>2.5589207057035632</v>
      </c>
      <c r="L10" s="30">
        <v>-2.744947856460727</v>
      </c>
      <c r="M10" s="120">
        <v>4.1420000000000003</v>
      </c>
      <c r="N10" s="30">
        <v>1.9900000000000002</v>
      </c>
      <c r="O10" s="30">
        <v>19.336402600690906</v>
      </c>
      <c r="P10" s="30">
        <v>4.6939908837489526</v>
      </c>
      <c r="Q10" s="39">
        <v>-2.3336814183828083</v>
      </c>
      <c r="R10" s="120">
        <v>4.3188000000000004</v>
      </c>
      <c r="S10" s="30">
        <v>1.9847999999999999</v>
      </c>
      <c r="T10" s="30">
        <v>29.414166408768928</v>
      </c>
      <c r="U10" s="30">
        <v>6.8717111625222431</v>
      </c>
      <c r="V10" s="39">
        <v>-2.2188186989036516</v>
      </c>
      <c r="W10" s="30">
        <v>5.313600000000001</v>
      </c>
      <c r="X10" s="30">
        <v>2.4216000000000006</v>
      </c>
      <c r="Y10" s="30">
        <v>39.932647575503033</v>
      </c>
      <c r="Z10" s="30">
        <v>7.7326678815250371</v>
      </c>
      <c r="AA10" s="39">
        <v>-2.2941758758849935</v>
      </c>
      <c r="AB10" s="120">
        <v>7.1784000000000008</v>
      </c>
      <c r="AC10" s="30">
        <v>3.5064000000000002</v>
      </c>
      <c r="AD10" s="30">
        <v>48.485064337396196</v>
      </c>
      <c r="AE10" s="30">
        <v>6.8917327445213559</v>
      </c>
      <c r="AF10" s="39">
        <v>-2.4912056650912842</v>
      </c>
    </row>
    <row r="11">
      <c r="A11" s="42" t="s">
        <v>139</v>
      </c>
      <c r="B11" s="43">
        <v>1</v>
      </c>
      <c r="C11" s="148">
        <v>6.0899999999999999</v>
      </c>
      <c r="D11" s="30">
        <v>2.8437514402315927</v>
      </c>
      <c r="E11" s="30">
        <v>0.043412949709575148</v>
      </c>
      <c r="F11" s="30">
        <v>0.0068352283298402927</v>
      </c>
      <c r="G11" s="30">
        <v>0.0068691801636867264</v>
      </c>
      <c r="H11" s="97">
        <v>2.3919999999999999</v>
      </c>
      <c r="I11" s="30">
        <v>1.157</v>
      </c>
      <c r="J11" s="30">
        <v>10.748344769284301</v>
      </c>
      <c r="K11" s="30">
        <v>4.5182920736187002</v>
      </c>
      <c r="L11" s="30">
        <v>-2.3522678384857172</v>
      </c>
      <c r="M11" s="120">
        <v>3.9036</v>
      </c>
      <c r="N11" s="30">
        <v>1.9848000000000003</v>
      </c>
      <c r="O11" s="30">
        <v>19.558397679181979</v>
      </c>
      <c r="P11" s="30">
        <v>5.5068309110267366</v>
      </c>
      <c r="Q11" s="39">
        <v>-2.1538534895946659</v>
      </c>
      <c r="R11" s="120">
        <v>3.5508000000000002</v>
      </c>
      <c r="S11" s="30">
        <v>1.9524000000000001</v>
      </c>
      <c r="T11" s="30">
        <v>31.630330518111766</v>
      </c>
      <c r="U11" s="30">
        <v>10.38123462857569</v>
      </c>
      <c r="V11" s="39">
        <v>-2.2225783107490527</v>
      </c>
      <c r="W11" s="30">
        <v>3.5027999999999997</v>
      </c>
      <c r="X11" s="30">
        <v>2.0327999999999999</v>
      </c>
      <c r="Y11" s="30">
        <v>38.592469332090424</v>
      </c>
      <c r="Z11" s="30">
        <v>11.367472789510439</v>
      </c>
      <c r="AA11" s="39">
        <v>-2.3092771922952342</v>
      </c>
      <c r="AB11" s="120">
        <v>2.8956</v>
      </c>
      <c r="AC11" s="30">
        <v>1.482</v>
      </c>
      <c r="AD11" s="30">
        <v>51.380355325319769</v>
      </c>
      <c r="AE11" s="30">
        <v>18.375344534298868</v>
      </c>
      <c r="AF11" s="39">
        <v>-2.3969239522505617</v>
      </c>
    </row>
    <row r="12">
      <c r="A12" s="42" t="s">
        <v>139</v>
      </c>
      <c r="B12" s="43">
        <v>1</v>
      </c>
      <c r="C12" s="98">
        <v>6.0899999999999999</v>
      </c>
      <c r="D12" s="30">
        <v>1.1439168733513041</v>
      </c>
      <c r="E12" s="30">
        <v>0.46857511292169202</v>
      </c>
      <c r="F12" s="30">
        <v>0.18126021438077922</v>
      </c>
      <c r="G12" s="30">
        <v>0.18132999721727708</v>
      </c>
      <c r="H12" s="97">
        <v>3.8160000000000003</v>
      </c>
      <c r="I12" s="30">
        <v>1.9728000000000001</v>
      </c>
      <c r="J12" s="30">
        <v>9.5726026900402452</v>
      </c>
      <c r="K12" s="30">
        <v>2.5641775655448087</v>
      </c>
      <c r="L12" s="30">
        <v>-2.7560858004684521</v>
      </c>
      <c r="M12" s="120">
        <v>3.9960000000000009</v>
      </c>
      <c r="N12" s="30">
        <v>1.9320000000000004</v>
      </c>
      <c r="O12" s="30">
        <v>19.383580376010894</v>
      </c>
      <c r="P12" s="30">
        <v>4.8749240365778777</v>
      </c>
      <c r="Q12" s="39">
        <v>-2.5595191331394602</v>
      </c>
      <c r="R12" s="120">
        <v>4.0835999999999997</v>
      </c>
      <c r="S12" s="30">
        <v>2.0700000000000003</v>
      </c>
      <c r="T12" s="30">
        <v>28.451822799768944</v>
      </c>
      <c r="U12" s="30">
        <v>7.363523054953669</v>
      </c>
      <c r="V12" s="39">
        <v>-2.5679433534571561</v>
      </c>
      <c r="W12" s="30">
        <v>8.9652000000000012</v>
      </c>
      <c r="X12" s="30">
        <v>4.8216000000000001</v>
      </c>
      <c r="Y12" s="30">
        <v>38.039235379134603</v>
      </c>
      <c r="Z12" s="30">
        <v>5.2449753928848599</v>
      </c>
      <c r="AA12" s="39">
        <v>-2.5833930011635431</v>
      </c>
      <c r="AB12" s="120">
        <v>5.532</v>
      </c>
      <c r="AC12" s="30">
        <v>3.0765000000000002</v>
      </c>
      <c r="AD12" s="30">
        <v>47.620190876266591</v>
      </c>
      <c r="AE12" s="30">
        <v>8.8306839800552215</v>
      </c>
      <c r="AF12" s="39">
        <v>-2.3622902631351104</v>
      </c>
    </row>
    <row r="13">
      <c r="A13" s="42" t="s">
        <v>138</v>
      </c>
      <c r="B13" s="43">
        <v>2</v>
      </c>
      <c r="C13" s="149">
        <v>6.0899999999999999</v>
      </c>
      <c r="D13" s="30">
        <v>0.33160533539667275</v>
      </c>
      <c r="E13" s="30">
        <v>0.69807211509906753</v>
      </c>
      <c r="F13" s="30">
        <v>0.2633516746737451</v>
      </c>
      <c r="G13" s="30">
        <v>0.26705364991100944</v>
      </c>
      <c r="H13" s="97">
        <v>2.7372000000000001</v>
      </c>
      <c r="I13" s="30">
        <v>1.3308000000000002</v>
      </c>
      <c r="J13" s="30">
        <v>10.041209306255379</v>
      </c>
      <c r="K13" s="30">
        <v>4.6881612427917974</v>
      </c>
      <c r="L13" s="30">
        <v>-2.1871691914402751</v>
      </c>
      <c r="M13" s="120">
        <v>1.5588000000000002</v>
      </c>
      <c r="N13" s="30">
        <v>0.71520000000000006</v>
      </c>
      <c r="O13" s="30">
        <v>17.79355429795098</v>
      </c>
      <c r="P13" s="30">
        <v>13.825543364303567</v>
      </c>
      <c r="Q13" s="39">
        <v>-1.9492316916159869</v>
      </c>
      <c r="R13" s="120">
        <v>4.4556000000000013</v>
      </c>
      <c r="S13" s="30">
        <v>2.0244</v>
      </c>
      <c r="T13" s="30">
        <v>29.370953908202615</v>
      </c>
      <c r="U13" s="30">
        <v>6.8916550769289486</v>
      </c>
      <c r="V13" s="39">
        <v>-2.4799217777842562</v>
      </c>
      <c r="W13" s="30">
        <v>1.8000000000000003</v>
      </c>
      <c r="X13" s="30">
        <v>0.82350000000000012</v>
      </c>
      <c r="Y13" s="30">
        <v>36.297806575469536</v>
      </c>
      <c r="Z13" s="30">
        <v>20.757590213871289</v>
      </c>
      <c r="AA13" s="39">
        <v>-2.1069526507571652</v>
      </c>
      <c r="AB13" s="120">
        <v>5.8236000000000008</v>
      </c>
      <c r="AC13" s="30">
        <v>3.0900000000000003</v>
      </c>
      <c r="AD13" s="30">
        <v>47.70485522435952</v>
      </c>
      <c r="AE13" s="30">
        <v>8.956632556349982</v>
      </c>
      <c r="AF13" s="39">
        <v>-2.2560402415438037</v>
      </c>
    </row>
    <row r="14">
      <c r="A14" s="42" t="s">
        <v>138</v>
      </c>
      <c r="B14" s="127">
        <v>2</v>
      </c>
      <c r="C14" s="150">
        <v>6.0899999999999999</v>
      </c>
      <c r="D14" s="30">
        <v>4.1673986601191269</v>
      </c>
      <c r="E14" s="30">
        <v>0.015848425434981134</v>
      </c>
      <c r="F14" s="30">
        <v>0.0008763231695010365</v>
      </c>
      <c r="G14" s="30">
        <v>0.0008787229605735677</v>
      </c>
      <c r="H14" s="97">
        <v>4.9119999999999999</v>
      </c>
      <c r="I14" s="30">
        <v>2.7200000000000002</v>
      </c>
      <c r="J14" s="30">
        <v>9.7846376324947393</v>
      </c>
      <c r="K14" s="30">
        <v>1.9919864887000691</v>
      </c>
      <c r="L14" s="30">
        <v>-2.6945415957099144</v>
      </c>
      <c r="M14" s="120">
        <v>4.6312000000000006</v>
      </c>
      <c r="N14" s="30">
        <v>2.4432</v>
      </c>
      <c r="O14" s="30">
        <v>18.875871215949878</v>
      </c>
      <c r="P14" s="30">
        <v>4.13165596085509</v>
      </c>
      <c r="Q14" s="39">
        <v>-2.3257330577905995</v>
      </c>
      <c r="R14" s="120">
        <v>3.2805</v>
      </c>
      <c r="S14" s="30">
        <v>1.7070000000000001</v>
      </c>
      <c r="T14" s="30">
        <v>30.02156238975374</v>
      </c>
      <c r="U14" s="30">
        <v>9.4391163261151121</v>
      </c>
      <c r="V14" s="39">
        <v>-2.2665652494975168</v>
      </c>
      <c r="W14" s="30">
        <v>4.2510000000000003</v>
      </c>
      <c r="X14" s="30">
        <v>1.9470000000000003</v>
      </c>
      <c r="Y14" s="30">
        <v>40.273433921086152</v>
      </c>
      <c r="Z14" s="30">
        <v>10.143049497725171</v>
      </c>
      <c r="AA14" s="39">
        <v>-2.3017506964710961</v>
      </c>
      <c r="AB14" s="120">
        <v>5.2380000000000004</v>
      </c>
      <c r="AC14" s="30">
        <v>2.379</v>
      </c>
      <c r="AD14" s="30">
        <v>48.876248204620005</v>
      </c>
      <c r="AE14" s="30">
        <v>9.5857826298556112</v>
      </c>
      <c r="AF14" s="39">
        <v>-2.3747320516756938</v>
      </c>
    </row>
    <row r="15" ht="15">
      <c r="A15" s="42" t="s">
        <v>139</v>
      </c>
      <c r="B15" s="43">
        <v>2</v>
      </c>
      <c r="C15" s="151">
        <v>6.0999999999999996</v>
      </c>
      <c r="D15" s="30">
        <v>9.3315193303515649</v>
      </c>
      <c r="E15" s="30">
        <v>-0.13098877246706175</v>
      </c>
      <c r="F15" s="30">
        <v>0.010381779881627806</v>
      </c>
      <c r="G15" s="30">
        <v>0.010441519002125681</v>
      </c>
      <c r="H15" s="97">
        <v>8.4288000000000007</v>
      </c>
      <c r="I15" s="30">
        <v>4.1312000000000006</v>
      </c>
      <c r="J15" s="30">
        <v>9.715361503577439</v>
      </c>
      <c r="K15" s="30">
        <v>1.2798639016049198</v>
      </c>
      <c r="L15" s="30">
        <v>-3.2360684750244948</v>
      </c>
      <c r="M15" s="120">
        <v>2.5388000000000002</v>
      </c>
      <c r="N15" s="30">
        <v>1.2548000000000001</v>
      </c>
      <c r="O15" s="30">
        <v>20.121142876406836</v>
      </c>
      <c r="P15" s="30">
        <v>11.279137699533091</v>
      </c>
      <c r="Q15" s="39">
        <v>-2.3754818644416633</v>
      </c>
      <c r="R15" s="120">
        <v>6.1356000000000011</v>
      </c>
      <c r="S15" s="30">
        <v>2.7396000000000003</v>
      </c>
      <c r="T15" s="30">
        <v>30.300266192160585</v>
      </c>
      <c r="U15" s="30">
        <v>6.146625723201292</v>
      </c>
      <c r="V15" s="39">
        <v>-2.4405348412759018</v>
      </c>
      <c r="W15" s="30">
        <v>8.8596000000000004</v>
      </c>
      <c r="X15" s="30">
        <v>4.7172000000000001</v>
      </c>
      <c r="Y15" s="30">
        <v>38.503234569814389</v>
      </c>
      <c r="Z15" s="30">
        <v>6.8737963607597212</v>
      </c>
      <c r="AA15" s="39">
        <v>-2.614490250349939</v>
      </c>
      <c r="AB15" s="120">
        <v>4.6500000000000004</v>
      </c>
      <c r="AC15" s="30">
        <v>2.3796000000000004</v>
      </c>
      <c r="AD15" s="30">
        <v>48.143615510596611</v>
      </c>
      <c r="AE15" s="30">
        <v>12.010342993667214</v>
      </c>
      <c r="AF15" s="39">
        <v>-2.2418020141031336</v>
      </c>
    </row>
    <row r="16">
      <c r="A16" s="42" t="s">
        <v>138</v>
      </c>
      <c r="B16" s="116">
        <v>1</v>
      </c>
      <c r="C16" s="33">
        <v>6.0999999999999996</v>
      </c>
      <c r="D16" s="30">
        <v>2.0261819385507396</v>
      </c>
      <c r="E16" s="30">
        <v>0.22147457135622764</v>
      </c>
      <c r="F16" s="30">
        <v>0.10987653372465178</v>
      </c>
      <c r="G16" s="30">
        <v>0.11071718237345272</v>
      </c>
      <c r="H16" s="97">
        <v>4.1579999999999995</v>
      </c>
      <c r="I16" s="30">
        <v>1.8972000000000002</v>
      </c>
      <c r="J16" s="30">
        <v>9.6735562272055819</v>
      </c>
      <c r="K16" s="30">
        <v>2.4250521330508037</v>
      </c>
      <c r="L16" s="30">
        <v>-2.4304900573343979</v>
      </c>
      <c r="M16" s="120">
        <v>3.6084000000000005</v>
      </c>
      <c r="N16" s="30">
        <v>1.4040000000000001</v>
      </c>
      <c r="O16" s="30">
        <v>18.61082880730714</v>
      </c>
      <c r="P16" s="30">
        <v>5.1831670084903436</v>
      </c>
      <c r="Q16" s="39">
        <v>-2.2935731019610825</v>
      </c>
      <c r="R16" s="120">
        <v>2.2848000000000002</v>
      </c>
      <c r="S16" s="30">
        <v>1.0379999999999998</v>
      </c>
      <c r="T16" s="30">
        <v>27.893713232801627</v>
      </c>
      <c r="U16" s="30">
        <v>12.487138918828689</v>
      </c>
      <c r="V16" s="39">
        <v>-2.1305902226140274</v>
      </c>
      <c r="W16" s="30">
        <v>5.6279999999999992</v>
      </c>
      <c r="X16" s="30">
        <v>2.3772000000000002</v>
      </c>
      <c r="Y16" s="30">
        <v>38.053096433248825</v>
      </c>
      <c r="Z16" s="30">
        <v>6.8131324244137463</v>
      </c>
      <c r="AA16" s="39">
        <v>-2.2788452368836265</v>
      </c>
      <c r="AB16" s="120">
        <v>5.1084000000000005</v>
      </c>
      <c r="AC16" s="30">
        <v>2.4588000000000001</v>
      </c>
      <c r="AD16" s="30">
        <v>47.948000764822879</v>
      </c>
      <c r="AE16" s="30">
        <v>9.8165918203963969</v>
      </c>
      <c r="AF16" s="39">
        <v>-2.1981249867480699</v>
      </c>
    </row>
    <row r="17">
      <c r="A17" s="42" t="s">
        <v>138</v>
      </c>
      <c r="B17" s="130">
        <v>2</v>
      </c>
      <c r="C17" s="131">
        <v>6.1100000000000003</v>
      </c>
      <c r="D17" s="30">
        <v>2.9251987349817785</v>
      </c>
      <c r="E17" s="30">
        <v>0.078612671133929238</v>
      </c>
      <c r="F17" s="30">
        <v>0.028603730734893529</v>
      </c>
      <c r="G17" s="30">
        <v>0.028625075846265918</v>
      </c>
      <c r="H17" s="97">
        <v>3.7723999999999998</v>
      </c>
      <c r="I17" s="30">
        <v>2.1444000000000001</v>
      </c>
      <c r="J17" s="30">
        <v>9.8703246731008001</v>
      </c>
      <c r="K17" s="30">
        <v>2.893900285181735</v>
      </c>
      <c r="L17" s="30">
        <v>-2.2513813364252178</v>
      </c>
      <c r="M17" s="120">
        <v>3.2292000000000001</v>
      </c>
      <c r="N17" s="30">
        <v>1.5312000000000001</v>
      </c>
      <c r="O17" s="30">
        <v>19.813254148852458</v>
      </c>
      <c r="P17" s="30">
        <v>6.4861323110639333</v>
      </c>
      <c r="Q17" s="39">
        <v>-2.1049940424632063</v>
      </c>
      <c r="R17" s="120">
        <v>3.7079999999999997</v>
      </c>
      <c r="S17" s="30">
        <v>1.8588</v>
      </c>
      <c r="T17" s="30">
        <v>29.239094362844355</v>
      </c>
      <c r="U17" s="30">
        <v>8.0546039986811415</v>
      </c>
      <c r="V17" s="39">
        <v>-2.1004925006365363</v>
      </c>
      <c r="W17" s="30">
        <v>4.173</v>
      </c>
      <c r="X17" s="30">
        <v>2.1705000000000001</v>
      </c>
      <c r="Y17" s="30">
        <v>39.785978940219529</v>
      </c>
      <c r="Z17" s="30">
        <v>9.7243359297694134</v>
      </c>
      <c r="AA17" s="39">
        <v>-2.2428572362480899</v>
      </c>
      <c r="AB17" s="120">
        <v>4.0620000000000003</v>
      </c>
      <c r="AC17" s="30">
        <v>1.9967999999999999</v>
      </c>
      <c r="AD17" s="30">
        <v>48.530242291820784</v>
      </c>
      <c r="AE17" s="30">
        <v>12.94167767991884</v>
      </c>
      <c r="AF17" s="39">
        <v>-2.2080261237914804</v>
      </c>
    </row>
    <row r="18">
      <c r="A18" s="43" t="s">
        <v>139</v>
      </c>
      <c r="B18" s="43">
        <v>1</v>
      </c>
      <c r="C18" s="126">
        <v>6.5</v>
      </c>
      <c r="D18" s="30">
        <v>2.8648413905748926</v>
      </c>
      <c r="E18" s="30">
        <v>0.36184291421337555</v>
      </c>
      <c r="F18" s="30">
        <v>0.52164527811131589</v>
      </c>
      <c r="G18" s="30">
        <v>0.52171585734100645</v>
      </c>
      <c r="H18" s="97">
        <v>6.6825000000000001</v>
      </c>
      <c r="I18" s="30">
        <v>3.4064999999999999</v>
      </c>
      <c r="J18" s="30">
        <v>11.110158814371044</v>
      </c>
      <c r="K18" s="30">
        <v>1.6915089038787792</v>
      </c>
      <c r="L18" s="30">
        <v>-2.6063618484714621</v>
      </c>
      <c r="M18" s="120">
        <v>9.6984000000000012</v>
      </c>
      <c r="N18" s="30">
        <v>4.9572000000000003</v>
      </c>
      <c r="O18" s="30">
        <v>21.227022100431835</v>
      </c>
      <c r="P18" s="30">
        <v>2.2612713365523449</v>
      </c>
      <c r="Q18" s="39">
        <v>-2.6329514397135254</v>
      </c>
      <c r="R18" s="120">
        <v>8.484</v>
      </c>
      <c r="S18" s="30">
        <v>3.8400000000000007</v>
      </c>
      <c r="T18" s="30">
        <v>31.418572412247016</v>
      </c>
      <c r="U18" s="30">
        <v>3.8042141743437732</v>
      </c>
      <c r="V18" s="39">
        <v>-2.3805491552912121</v>
      </c>
      <c r="W18" s="30">
        <v>11.336400000000001</v>
      </c>
      <c r="X18" s="30">
        <v>5.6364000000000001</v>
      </c>
      <c r="Y18" s="30">
        <v>43.958129216363304</v>
      </c>
      <c r="Z18" s="30">
        <v>3.9245184917064551</v>
      </c>
      <c r="AA18" s="39">
        <v>-2.3831495503301161</v>
      </c>
      <c r="AB18" s="120">
        <v>12.607200000000002</v>
      </c>
      <c r="AC18" s="30">
        <v>5.950800000000001</v>
      </c>
      <c r="AD18" s="30">
        <v>53.516061507727315</v>
      </c>
      <c r="AE18" s="30">
        <v>4.3325445512246379</v>
      </c>
      <c r="AF18" s="39">
        <v>-2.2569619666633352</v>
      </c>
    </row>
    <row r="19">
      <c r="A19" s="52" t="s">
        <v>138</v>
      </c>
      <c r="B19" s="43">
        <v>2</v>
      </c>
      <c r="C19" s="132">
        <v>7</v>
      </c>
      <c r="D19" s="30">
        <v>8.1420680542788393</v>
      </c>
      <c r="E19" s="30">
        <v>-0.042965932740118132</v>
      </c>
      <c r="F19" s="30">
        <v>0.01734980467553926</v>
      </c>
      <c r="G19" s="30">
        <v>0.017369988589411505</v>
      </c>
      <c r="H19" s="97">
        <v>6.6380000000000008</v>
      </c>
      <c r="I19" s="30">
        <v>3.4299999999999997</v>
      </c>
      <c r="J19" s="30">
        <v>9.8237266299170205</v>
      </c>
      <c r="K19" s="30">
        <v>1.5044464789429377</v>
      </c>
      <c r="L19" s="30">
        <v>-2.623124080724812</v>
      </c>
      <c r="M19" s="120">
        <v>8.0069999999999997</v>
      </c>
      <c r="N19" s="30">
        <v>3.6165000000000003</v>
      </c>
      <c r="O19" s="30">
        <v>19.587381444823272</v>
      </c>
      <c r="P19" s="30">
        <v>2.473754096726942</v>
      </c>
      <c r="Q19" s="39">
        <v>-2.5639824033662135</v>
      </c>
      <c r="R19" s="120">
        <v>7.9140000000000006</v>
      </c>
      <c r="S19" s="30">
        <v>3.4620000000000002</v>
      </c>
      <c r="T19" s="30">
        <v>29.315179273627905</v>
      </c>
      <c r="U19" s="30">
        <v>3.8054136480746346</v>
      </c>
      <c r="V19" s="39">
        <v>-3.005065496339137</v>
      </c>
      <c r="W19" s="30">
        <v>6.580000000000001</v>
      </c>
      <c r="X19" s="30">
        <v>2.972</v>
      </c>
      <c r="Y19" s="30">
        <v>38.914004811423787</v>
      </c>
      <c r="Z19" s="30">
        <v>6.027946156493293</v>
      </c>
      <c r="AA19" s="39">
        <v>-2.3260105747697524</v>
      </c>
      <c r="AB19" s="120">
        <v>6.4530000000000003</v>
      </c>
      <c r="AC19" s="30">
        <v>3.2655000000000003</v>
      </c>
      <c r="AD19" s="30">
        <v>48.458937285243834</v>
      </c>
      <c r="AE19" s="30">
        <v>7.9924564308328474</v>
      </c>
      <c r="AF19" s="39">
        <v>-2.3249502165354867</v>
      </c>
    </row>
    <row r="20">
      <c r="A20" s="52" t="s">
        <v>138</v>
      </c>
      <c r="B20" s="43">
        <v>2</v>
      </c>
      <c r="C20" s="132">
        <v>7</v>
      </c>
      <c r="D20" s="30">
        <v>3.2218614387315809</v>
      </c>
      <c r="E20" s="30">
        <v>0.34320404187501319</v>
      </c>
      <c r="F20" s="30">
        <v>0.173997184793932</v>
      </c>
      <c r="G20" s="30">
        <v>0.17567227125921964</v>
      </c>
      <c r="H20" s="97">
        <v>5.0200000000000005</v>
      </c>
      <c r="I20" s="30">
        <v>2.4860000000000002</v>
      </c>
      <c r="J20" s="30">
        <v>9.6957206994293319</v>
      </c>
      <c r="K20" s="30">
        <v>1.9463309023419864</v>
      </c>
      <c r="L20" s="30">
        <v>-2.5507712998352572</v>
      </c>
      <c r="M20" s="120">
        <v>7.5030000000000001</v>
      </c>
      <c r="N20" s="30">
        <v>4.125</v>
      </c>
      <c r="O20" s="30">
        <v>19.416199320018677</v>
      </c>
      <c r="P20" s="30">
        <v>2.6752919316147885</v>
      </c>
      <c r="Q20" s="39">
        <v>-3.0546078258989322</v>
      </c>
      <c r="R20" s="120">
        <v>16.668000000000003</v>
      </c>
      <c r="S20" s="30">
        <v>7.5420000000000007</v>
      </c>
      <c r="T20" s="30">
        <v>29.216448125289205</v>
      </c>
      <c r="U20" s="30">
        <v>2.0195776682452511</v>
      </c>
      <c r="V20" s="39">
        <v>-2.8429430977095116</v>
      </c>
      <c r="W20" s="30">
        <v>10.33</v>
      </c>
      <c r="X20" s="30">
        <v>5.4619999999999997</v>
      </c>
      <c r="Y20" s="30">
        <v>38.648403280477062</v>
      </c>
      <c r="Z20" s="30">
        <v>3.7611819282113239</v>
      </c>
      <c r="AA20" s="39">
        <v>-2.8642677987546925</v>
      </c>
      <c r="AB20" s="120">
        <v>9.5560000000000009</v>
      </c>
      <c r="AC20" s="30">
        <v>4.8820000000000006</v>
      </c>
      <c r="AD20" s="30">
        <v>48.720963436219648</v>
      </c>
      <c r="AE20" s="30">
        <v>5.3008152309425212</v>
      </c>
      <c r="AF20" s="39">
        <v>-2.7756641618825935</v>
      </c>
    </row>
    <row r="21">
      <c r="A21" s="43" t="s">
        <v>139</v>
      </c>
      <c r="B21" s="43">
        <v>2</v>
      </c>
      <c r="C21" s="126">
        <v>7</v>
      </c>
      <c r="D21" s="30">
        <v>0.30211953274492453</v>
      </c>
      <c r="E21" s="30">
        <v>0.88894984730406401</v>
      </c>
      <c r="F21" s="30">
        <v>0.38019848687066382</v>
      </c>
      <c r="G21" s="30">
        <v>0.38025161491307796</v>
      </c>
      <c r="H21" s="97">
        <v>3.0032000000000005</v>
      </c>
      <c r="I21" s="30">
        <v>1.9936</v>
      </c>
      <c r="J21" s="30">
        <v>10.464761785609792</v>
      </c>
      <c r="K21" s="30">
        <v>3.8416986605469909</v>
      </c>
      <c r="L21" s="30">
        <v>-2.238897774897243</v>
      </c>
      <c r="M21" s="120">
        <v>2.9628000000000001</v>
      </c>
      <c r="N21" s="30">
        <v>1.7088000000000001</v>
      </c>
      <c r="O21" s="30">
        <v>19.89547972106941</v>
      </c>
      <c r="P21" s="30">
        <v>6.9482577478159353</v>
      </c>
      <c r="Q21" s="39">
        <v>-2.0255059453707878</v>
      </c>
      <c r="R21" s="120">
        <v>4.4976000000000003</v>
      </c>
      <c r="S21" s="30">
        <v>2.4936000000000003</v>
      </c>
      <c r="T21" s="30">
        <v>30.463231430331234</v>
      </c>
      <c r="U21" s="30">
        <v>7.0913449619722879</v>
      </c>
      <c r="V21" s="39">
        <v>-2.5589346244087969</v>
      </c>
      <c r="W21" s="30">
        <v>14.397000000000002</v>
      </c>
      <c r="X21" s="30">
        <v>8.5995000000000008</v>
      </c>
      <c r="Y21" s="30">
        <v>39.601085404637047</v>
      </c>
      <c r="Z21" s="30">
        <v>2.7906776814684702</v>
      </c>
      <c r="AA21" s="39">
        <v>-2.4105377497284923</v>
      </c>
      <c r="AB21" s="120">
        <v>6.8808000000000007</v>
      </c>
      <c r="AC21" s="30">
        <v>4.0836000000000006</v>
      </c>
      <c r="AD21" s="30">
        <v>48.449701621803733</v>
      </c>
      <c r="AE21" s="30">
        <v>7.237635366186522</v>
      </c>
      <c r="AF21" s="39">
        <v>-2.2580822350971941</v>
      </c>
    </row>
    <row r="22">
      <c r="A22" s="42" t="s">
        <v>139</v>
      </c>
      <c r="B22" s="43">
        <v>2</v>
      </c>
      <c r="C22" s="119">
        <v>7.0099999999999998</v>
      </c>
      <c r="D22" s="30">
        <v>36.225345802592322</v>
      </c>
      <c r="E22" s="30">
        <v>-0.68514677135161373</v>
      </c>
      <c r="F22" s="30">
        <v>0.28233017731168153</v>
      </c>
      <c r="G22" s="30">
        <v>0.2897008424073157</v>
      </c>
      <c r="H22" s="97">
        <v>8.4212000000000007</v>
      </c>
      <c r="I22" s="30">
        <v>3.7480000000000002</v>
      </c>
      <c r="J22" s="30">
        <v>10.426922066093706</v>
      </c>
      <c r="K22" s="30">
        <v>1.4222519516839787</v>
      </c>
      <c r="L22" s="30">
        <v>-3.2471260393749461</v>
      </c>
      <c r="M22" s="120">
        <v>1.9044000000000001</v>
      </c>
      <c r="N22" s="30">
        <v>0.97920000000000018</v>
      </c>
      <c r="O22" s="30">
        <v>19.547256374514987</v>
      </c>
      <c r="P22" s="30">
        <v>10.743081046053394</v>
      </c>
      <c r="Q22" s="39">
        <v>-2.2010937926422032</v>
      </c>
      <c r="R22" s="120">
        <v>3.2680000000000002</v>
      </c>
      <c r="S22" s="30">
        <v>1.4019999999999999</v>
      </c>
      <c r="T22" s="30">
        <v>28.254533589287131</v>
      </c>
      <c r="U22" s="30">
        <v>8.6625883009212359</v>
      </c>
      <c r="V22" s="39">
        <v>-2.2246751852309505</v>
      </c>
      <c r="W22" s="30">
        <v>3.2775000000000003</v>
      </c>
      <c r="X22" s="30">
        <v>1.5270000000000001</v>
      </c>
      <c r="Y22" s="30">
        <v>38.745149969129336</v>
      </c>
      <c r="Z22" s="30">
        <v>12.006968248886508</v>
      </c>
      <c r="AA22" s="39">
        <v>-2.2727017693572393</v>
      </c>
      <c r="AB22" s="120">
        <v>4.6547999999999998</v>
      </c>
      <c r="AC22" s="30">
        <v>2.3243999999999998</v>
      </c>
      <c r="AD22" s="30">
        <v>47.517321260939823</v>
      </c>
      <c r="AE22" s="30">
        <v>10.893619010071152</v>
      </c>
      <c r="AF22" s="39">
        <v>-2.3170681511333364</v>
      </c>
    </row>
    <row r="23">
      <c r="A23" s="42" t="s">
        <v>139</v>
      </c>
      <c r="B23" s="43">
        <v>1</v>
      </c>
      <c r="C23" s="119">
        <v>7.0099999999999998</v>
      </c>
      <c r="D23" s="30">
        <v>1.1439168733513041</v>
      </c>
      <c r="E23" s="30">
        <v>0.46857511292169202</v>
      </c>
      <c r="F23" s="30">
        <v>0.18126021438077922</v>
      </c>
      <c r="G23" s="30">
        <v>0.18132999721727708</v>
      </c>
      <c r="H23" s="97">
        <v>3.8160000000000003</v>
      </c>
      <c r="I23" s="30">
        <v>1.9728000000000001</v>
      </c>
      <c r="J23" s="30">
        <v>9.5726026900402452</v>
      </c>
      <c r="K23" s="30">
        <v>2.5641775655448087</v>
      </c>
      <c r="L23" s="30">
        <v>-2.7560858004684521</v>
      </c>
      <c r="M23" s="120">
        <v>3.9960000000000009</v>
      </c>
      <c r="N23" s="30">
        <v>1.9320000000000004</v>
      </c>
      <c r="O23" s="30">
        <v>19.383580376010894</v>
      </c>
      <c r="P23" s="30">
        <v>4.8749240365778777</v>
      </c>
      <c r="Q23" s="39">
        <v>-2.5595191331394602</v>
      </c>
      <c r="R23" s="120">
        <v>4.0835999999999997</v>
      </c>
      <c r="S23" s="30">
        <v>2.0700000000000003</v>
      </c>
      <c r="T23" s="30">
        <v>28.451822799768944</v>
      </c>
      <c r="U23" s="30">
        <v>7.363523054953669</v>
      </c>
      <c r="V23" s="39">
        <v>-2.5679433534571561</v>
      </c>
      <c r="W23" s="30">
        <v>8.9652000000000012</v>
      </c>
      <c r="X23" s="30">
        <v>4.8216000000000001</v>
      </c>
      <c r="Y23" s="30">
        <v>38.039235379134603</v>
      </c>
      <c r="Z23" s="30">
        <v>5.2449753928848599</v>
      </c>
      <c r="AA23" s="39">
        <v>-2.5833930011635431</v>
      </c>
      <c r="AB23" s="120">
        <v>5.532</v>
      </c>
      <c r="AC23" s="30">
        <v>3.0765000000000002</v>
      </c>
      <c r="AD23" s="30">
        <v>47.620190876266591</v>
      </c>
      <c r="AE23" s="30">
        <v>8.8306839800552215</v>
      </c>
      <c r="AF23" s="39">
        <v>-2.3622902631351104</v>
      </c>
    </row>
    <row r="24">
      <c r="A24" s="42" t="s">
        <v>138</v>
      </c>
      <c r="B24" s="121">
        <v>1</v>
      </c>
      <c r="C24" s="122">
        <v>7.0099999999999998</v>
      </c>
      <c r="D24" s="30">
        <v>1.4983495178742068</v>
      </c>
      <c r="E24" s="30">
        <v>0.20424125357731829</v>
      </c>
      <c r="F24" s="30">
        <v>0.014872299934770683</v>
      </c>
      <c r="G24" s="30">
        <v>0.01488090487963542</v>
      </c>
      <c r="H24" s="97">
        <v>2.9939999999999998</v>
      </c>
      <c r="I24" s="30">
        <v>1.720666666666667</v>
      </c>
      <c r="J24" s="30">
        <v>11.816335700149333</v>
      </c>
      <c r="K24" s="30">
        <v>7.4644329489893915</v>
      </c>
      <c r="L24" s="30">
        <v>-2.7380244163177547</v>
      </c>
      <c r="M24" s="120">
        <v>1.7855999999999999</v>
      </c>
      <c r="N24" s="30">
        <v>0.79320000000000002</v>
      </c>
      <c r="O24" s="30">
        <v>19.231364477631111</v>
      </c>
      <c r="P24" s="30">
        <v>13.10284032284315</v>
      </c>
      <c r="Q24" s="39">
        <v>-2.3296696853221066</v>
      </c>
      <c r="R24" s="120">
        <v>3.1460000000000004</v>
      </c>
      <c r="S24" s="30">
        <v>1.5780000000000001</v>
      </c>
      <c r="T24" s="30">
        <v>29.290913719660612</v>
      </c>
      <c r="U24" s="30">
        <v>9.4854180273171824</v>
      </c>
      <c r="V24" s="39">
        <v>-2.6964085613026429</v>
      </c>
      <c r="W24" s="30">
        <v>5.4180000000000001</v>
      </c>
      <c r="X24" s="30">
        <v>2.5656000000000003</v>
      </c>
      <c r="Y24" s="30">
        <v>39.498279548101422</v>
      </c>
      <c r="Z24" s="30">
        <v>10.961364006750477</v>
      </c>
      <c r="AA24" s="39">
        <v>-2.6924375774656242</v>
      </c>
      <c r="AB24" s="120">
        <v>1.5635999999999999</v>
      </c>
      <c r="AC24" s="30">
        <v>0.8256</v>
      </c>
      <c r="AD24" s="30">
        <v>44.786515513826878</v>
      </c>
      <c r="AE24" s="30">
        <v>30.499594843472131</v>
      </c>
      <c r="AF24" s="39">
        <v>-2.0223365116265635</v>
      </c>
    </row>
    <row r="25">
      <c r="A25" s="43" t="s">
        <v>139</v>
      </c>
      <c r="B25" s="43">
        <v>2</v>
      </c>
      <c r="C25" s="126">
        <v>7.0300000000000002</v>
      </c>
      <c r="D25" s="30">
        <v>2.3879540704692728</v>
      </c>
      <c r="E25" s="30">
        <v>0.40427689163952385</v>
      </c>
      <c r="F25" s="30">
        <v>0.44935369125348557</v>
      </c>
      <c r="G25" s="30">
        <v>0.44944714800148106</v>
      </c>
      <c r="H25" s="97">
        <v>5.8620000000000001</v>
      </c>
      <c r="I25" s="30">
        <v>2.7963999999999998</v>
      </c>
      <c r="J25" s="30">
        <v>10.502851302982595</v>
      </c>
      <c r="K25" s="30">
        <v>1.8130912304395601</v>
      </c>
      <c r="L25" s="30">
        <v>-2.8852422998971816</v>
      </c>
      <c r="M25" s="120">
        <v>7.7064000000000004</v>
      </c>
      <c r="N25" s="30">
        <v>3.9120000000000004</v>
      </c>
      <c r="O25" s="30">
        <v>19.300200795418434</v>
      </c>
      <c r="P25" s="30">
        <v>2.5560805922755181</v>
      </c>
      <c r="Q25" s="39">
        <v>-2.9278697663162685</v>
      </c>
      <c r="R25" s="120">
        <v>10.4688</v>
      </c>
      <c r="S25" s="30">
        <v>5.1756000000000011</v>
      </c>
      <c r="T25" s="30">
        <v>29.15012774879051</v>
      </c>
      <c r="U25" s="30">
        <v>3.0395815781133413</v>
      </c>
      <c r="V25" s="39">
        <v>-2.9459982326371659</v>
      </c>
      <c r="W25" s="30">
        <v>9.9210000000000012</v>
      </c>
      <c r="X25" s="30">
        <v>4.3725000000000005</v>
      </c>
      <c r="Y25" s="30">
        <v>39.205175595101267</v>
      </c>
      <c r="Z25" s="30">
        <v>4.0607546649049944</v>
      </c>
      <c r="AA25" s="39">
        <v>-3.0999142961301809</v>
      </c>
      <c r="AB25" s="120">
        <v>11.332800000000001</v>
      </c>
      <c r="AC25" s="30">
        <v>5.6772000000000009</v>
      </c>
      <c r="AD25" s="30">
        <v>49.027395713718974</v>
      </c>
      <c r="AE25" s="30">
        <v>4.4924071847081901</v>
      </c>
      <c r="AF25" s="39">
        <v>-2.9331270115855652</v>
      </c>
    </row>
    <row r="26">
      <c r="A26" s="42" t="s">
        <v>138</v>
      </c>
      <c r="B26" s="43">
        <v>2</v>
      </c>
      <c r="C26" s="126">
        <v>7.0300000000000002</v>
      </c>
      <c r="D26" s="30">
        <v>7.4932042157986913</v>
      </c>
      <c r="E26" s="30">
        <v>-0.046856144282797177</v>
      </c>
      <c r="F26" s="30">
        <v>0.0089353955662258011</v>
      </c>
      <c r="G26" s="30">
        <v>0.0089361045256540431</v>
      </c>
      <c r="H26" s="97">
        <v>6.7240000000000011</v>
      </c>
      <c r="I26" s="30">
        <v>3.4003999999999999</v>
      </c>
      <c r="J26" s="30">
        <v>8.9913056650594392</v>
      </c>
      <c r="K26" s="30">
        <v>1.4943682609793005</v>
      </c>
      <c r="L26" s="30">
        <v>-2.3925066183814816</v>
      </c>
      <c r="M26" s="120">
        <v>7.7207999999999997</v>
      </c>
      <c r="N26" s="30">
        <v>4.4543999999999997</v>
      </c>
      <c r="O26" s="30">
        <v>18.334521442897433</v>
      </c>
      <c r="P26" s="30">
        <v>2.5794425896262956</v>
      </c>
      <c r="Q26" s="39">
        <v>-2.5344380046894583</v>
      </c>
      <c r="R26" s="120">
        <v>4.8696000000000002</v>
      </c>
      <c r="S26" s="30">
        <v>3.1044</v>
      </c>
      <c r="T26" s="30">
        <v>28.214425580289223</v>
      </c>
      <c r="U26" s="30">
        <v>6.0066181258293927</v>
      </c>
      <c r="V26" s="39">
        <v>-2.2544959120151828</v>
      </c>
      <c r="W26" s="30">
        <v>5.8499999999999996</v>
      </c>
      <c r="X26" s="30">
        <v>3.7356000000000003</v>
      </c>
      <c r="Y26" s="30">
        <v>35.270612433131504</v>
      </c>
      <c r="Z26" s="30">
        <v>6.3919648627083401</v>
      </c>
      <c r="AA26" s="39">
        <v>-2.7308838835195761</v>
      </c>
      <c r="AB26" s="120">
        <v>7.1352000000000002</v>
      </c>
      <c r="AC26" s="30">
        <v>4.2035999999999998</v>
      </c>
      <c r="AD26" s="30">
        <v>47.916141366030644</v>
      </c>
      <c r="AE26" s="30">
        <v>6.832315272277123</v>
      </c>
      <c r="AF26" s="39">
        <v>-2.5465055631031226</v>
      </c>
    </row>
    <row r="27">
      <c r="A27" s="42" t="s">
        <v>138</v>
      </c>
      <c r="B27" s="43">
        <v>1</v>
      </c>
      <c r="C27" s="126">
        <v>7.0300000000000002</v>
      </c>
      <c r="D27" s="30">
        <v>2.6354662192924572</v>
      </c>
      <c r="E27" s="30">
        <v>0.36369210509110256</v>
      </c>
      <c r="F27" s="30">
        <v>0.4382938070867286</v>
      </c>
      <c r="G27" s="30">
        <v>0.43829689102678021</v>
      </c>
      <c r="H27" s="97">
        <v>6.2504000000000008</v>
      </c>
      <c r="I27" s="30">
        <v>3.3112000000000004</v>
      </c>
      <c r="J27" s="30">
        <v>10.622505098913837</v>
      </c>
      <c r="K27" s="30">
        <v>1.7412350012536568</v>
      </c>
      <c r="L27" s="30">
        <v>-3.1062960728010625</v>
      </c>
      <c r="M27" s="120">
        <v>7.9584000000000001</v>
      </c>
      <c r="N27" s="30">
        <v>4.1219999999999999</v>
      </c>
      <c r="O27" s="30">
        <v>20.186137552788686</v>
      </c>
      <c r="P27" s="30">
        <v>2.6307118916812593</v>
      </c>
      <c r="Q27" s="39">
        <v>-2.9391653442998775</v>
      </c>
      <c r="R27" s="120">
        <v>8.3315999999999999</v>
      </c>
      <c r="S27" s="30">
        <v>3.7824000000000004</v>
      </c>
      <c r="T27" s="30">
        <v>28.895621133688643</v>
      </c>
      <c r="U27" s="30">
        <v>3.6085913620683421</v>
      </c>
      <c r="V27" s="39">
        <v>-3.0235884751441846</v>
      </c>
      <c r="W27" s="30">
        <v>10.969500000000002</v>
      </c>
      <c r="X27" s="30">
        <v>5.0010000000000003</v>
      </c>
      <c r="Y27" s="30">
        <v>40.644208309729429</v>
      </c>
      <c r="Z27" s="30">
        <v>3.7708879630510537</v>
      </c>
      <c r="AA27" s="39">
        <v>-3.2561536549579499</v>
      </c>
      <c r="AB27" s="120">
        <v>10.483200000000002</v>
      </c>
      <c r="AC27" s="30">
        <v>5.474400000000001</v>
      </c>
      <c r="AD27" s="30">
        <v>46.649154849483395</v>
      </c>
      <c r="AE27" s="30">
        <v>4.7016916046644841</v>
      </c>
      <c r="AF27" s="39">
        <v>-3.3168234103257008</v>
      </c>
    </row>
    <row r="28">
      <c r="A28" s="42" t="s">
        <v>138</v>
      </c>
      <c r="B28" s="123">
        <v>2</v>
      </c>
      <c r="C28" s="122">
        <v>7.0300000000000002</v>
      </c>
      <c r="D28" s="30">
        <v>1.625058222474461</v>
      </c>
      <c r="E28" s="30">
        <v>0.32121776566702842</v>
      </c>
      <c r="F28" s="30">
        <v>0.66037113075438891</v>
      </c>
      <c r="G28" s="30">
        <v>0.6603771218262019</v>
      </c>
      <c r="H28" s="97">
        <v>3.3024</v>
      </c>
      <c r="I28" s="30">
        <v>1.4144000000000001</v>
      </c>
      <c r="J28" s="30">
        <v>10.333961190141274</v>
      </c>
      <c r="K28" s="30">
        <v>3.1523929507881236</v>
      </c>
      <c r="L28" s="30">
        <v>-2.4877982311743918</v>
      </c>
      <c r="M28" s="120">
        <v>4.7064000000000004</v>
      </c>
      <c r="N28" s="30">
        <v>2.1432000000000002</v>
      </c>
      <c r="O28" s="30">
        <v>20.157315381193818</v>
      </c>
      <c r="P28" s="30">
        <v>4.3151936009915328</v>
      </c>
      <c r="Q28" s="39">
        <v>-2.3440348490858591</v>
      </c>
      <c r="R28" s="120">
        <v>4.4940000000000007</v>
      </c>
      <c r="S28" s="30">
        <v>2.1311999999999998</v>
      </c>
      <c r="T28" s="30">
        <v>30.059051284856515</v>
      </c>
      <c r="U28" s="30">
        <v>6.7281453101682276</v>
      </c>
      <c r="V28" s="39">
        <v>-2.1978428217947794</v>
      </c>
      <c r="W28" s="30">
        <v>5.1372</v>
      </c>
      <c r="X28" s="30">
        <v>2.4612000000000003</v>
      </c>
      <c r="Y28" s="30">
        <v>38.353808009321043</v>
      </c>
      <c r="Z28" s="30">
        <v>7.6869080563989085</v>
      </c>
      <c r="AA28" s="39">
        <v>-2.1422408903014727</v>
      </c>
      <c r="AB28" s="120">
        <v>5.8320000000000007</v>
      </c>
      <c r="AC28" s="30">
        <v>2.5008000000000004</v>
      </c>
      <c r="AD28" s="30">
        <v>49.170496630939617</v>
      </c>
      <c r="AE28" s="30">
        <v>8.4367633703265206</v>
      </c>
      <c r="AF28" s="39">
        <v>-2.1462739756189775</v>
      </c>
    </row>
    <row r="29">
      <c r="A29" s="43" t="s">
        <v>139</v>
      </c>
      <c r="B29" s="43">
        <v>1</v>
      </c>
      <c r="C29" s="126">
        <v>7.04</v>
      </c>
      <c r="D29" s="30">
        <v>0.38819809030039426</v>
      </c>
      <c r="E29" s="30">
        <v>0.85772226070654844</v>
      </c>
      <c r="F29" s="30">
        <v>0.38331124641052461</v>
      </c>
      <c r="G29" s="30">
        <v>0.38606932530662658</v>
      </c>
      <c r="H29" s="97">
        <v>4.2940000000000005</v>
      </c>
      <c r="I29" s="30">
        <v>2.0480000000000005</v>
      </c>
      <c r="J29" s="30">
        <v>10.290840023113487</v>
      </c>
      <c r="K29" s="30">
        <v>2.4788232997671451</v>
      </c>
      <c r="L29" s="30">
        <v>-2.6401920218916732</v>
      </c>
      <c r="M29" s="120">
        <v>3.7776000000000005</v>
      </c>
      <c r="N29" s="30">
        <v>1.9164000000000001</v>
      </c>
      <c r="O29" s="30">
        <v>19.458627562190379</v>
      </c>
      <c r="P29" s="30">
        <v>5.2872447623467993</v>
      </c>
      <c r="Q29" s="39">
        <v>-2.5172766066947601</v>
      </c>
      <c r="R29" s="120">
        <v>7.6320000000000006</v>
      </c>
      <c r="S29" s="30">
        <v>3.6864000000000003</v>
      </c>
      <c r="T29" s="30">
        <v>27.002242012559815</v>
      </c>
      <c r="U29" s="30">
        <v>3.641593157851351</v>
      </c>
      <c r="V29" s="39">
        <v>-2.6973252936280234</v>
      </c>
      <c r="W29" s="30">
        <v>6.8868000000000009</v>
      </c>
      <c r="X29" s="30">
        <v>3.1296000000000004</v>
      </c>
      <c r="Y29" s="30">
        <v>35.553254822709448</v>
      </c>
      <c r="Z29" s="30">
        <v>5.3023571068049291</v>
      </c>
      <c r="AA29" s="39">
        <v>-2.4383525306542984</v>
      </c>
      <c r="AB29" s="120">
        <v>10.5672</v>
      </c>
      <c r="AC29" s="30">
        <v>5.9796000000000005</v>
      </c>
      <c r="AD29" s="30">
        <v>44.777627182732758</v>
      </c>
      <c r="AE29" s="30">
        <v>5.8784256469663791</v>
      </c>
      <c r="AF29" s="39">
        <v>-2.6825541624246796</v>
      </c>
    </row>
    <row r="30">
      <c r="A30" s="43" t="s">
        <v>139</v>
      </c>
      <c r="B30" s="43">
        <v>1</v>
      </c>
      <c r="C30" s="126">
        <v>7.0499999999999998</v>
      </c>
      <c r="D30" s="30">
        <v>5.1453120283785694</v>
      </c>
      <c r="E30" s="30">
        <v>0.16335698313186131</v>
      </c>
      <c r="F30" s="30">
        <v>0.026470155277846241</v>
      </c>
      <c r="G30" s="30">
        <v>0.026474737586269406</v>
      </c>
      <c r="H30" s="97">
        <v>8.0128000000000004</v>
      </c>
      <c r="I30" s="30">
        <v>3.9487999999999999</v>
      </c>
      <c r="J30" s="30">
        <v>9.8620107743060856</v>
      </c>
      <c r="K30" s="30">
        <v>1.5445580166045847</v>
      </c>
      <c r="L30" s="30">
        <v>-2.8780351582898431</v>
      </c>
      <c r="M30" s="120">
        <v>6.8700000000000001</v>
      </c>
      <c r="N30" s="30">
        <v>3.1788000000000003</v>
      </c>
      <c r="O30" s="30">
        <v>20.754679654874138</v>
      </c>
      <c r="P30" s="30">
        <v>3.3550570731033802</v>
      </c>
      <c r="Q30" s="39">
        <v>-2.7717029040855268</v>
      </c>
      <c r="R30" s="120">
        <v>10.0512</v>
      </c>
      <c r="S30" s="30">
        <v>4.8480000000000008</v>
      </c>
      <c r="T30" s="30">
        <v>30.555361778947049</v>
      </c>
      <c r="U30" s="30">
        <v>3.6462631914663057</v>
      </c>
      <c r="V30" s="39">
        <v>-2.6418750243110654</v>
      </c>
      <c r="W30" s="30">
        <v>10.932</v>
      </c>
      <c r="X30" s="30">
        <v>5.463000000000001</v>
      </c>
      <c r="Y30" s="30">
        <v>39.144107824075235</v>
      </c>
      <c r="Z30" s="30">
        <v>4.6299210521550398</v>
      </c>
      <c r="AA30" s="39">
        <v>-2.2531739941619504</v>
      </c>
      <c r="AB30" s="120">
        <v>7.9650000000000007</v>
      </c>
      <c r="AC30" s="30">
        <v>4.5434999999999999</v>
      </c>
      <c r="AD30" s="30">
        <v>44.583039030915707</v>
      </c>
      <c r="AE30" s="30">
        <v>6.1949398699199438</v>
      </c>
      <c r="AF30" s="39">
        <v>-2.7468300350483896</v>
      </c>
    </row>
    <row r="31">
      <c r="A31" s="42" t="s">
        <v>138</v>
      </c>
      <c r="B31" s="43">
        <v>1</v>
      </c>
      <c r="C31" s="126">
        <v>7.0499999999999998</v>
      </c>
      <c r="D31" s="30">
        <v>0.86728315243842402</v>
      </c>
      <c r="E31" s="30">
        <v>0.2651691512040063</v>
      </c>
      <c r="F31" s="30">
        <v>0.076607389523574154</v>
      </c>
      <c r="G31" s="30">
        <v>0.077271589372173835</v>
      </c>
      <c r="H31" s="97">
        <v>1.7887999999999997</v>
      </c>
      <c r="I31" s="30">
        <v>0.87679999999999991</v>
      </c>
      <c r="J31" s="30">
        <v>11.077056876596306</v>
      </c>
      <c r="K31" s="30">
        <v>7.3593750335967414</v>
      </c>
      <c r="L31" s="30">
        <v>-2.3791626562667192</v>
      </c>
      <c r="M31" s="120">
        <v>2.2284000000000002</v>
      </c>
      <c r="N31" s="30">
        <v>1.0524</v>
      </c>
      <c r="O31" s="30">
        <v>20.969722341884829</v>
      </c>
      <c r="P31" s="30">
        <v>10.698487399128947</v>
      </c>
      <c r="Q31" s="39">
        <v>-2.2552550998807992</v>
      </c>
      <c r="R31" s="120">
        <v>1.6728000000000001</v>
      </c>
      <c r="S31" s="30">
        <v>0.82319999999999993</v>
      </c>
      <c r="T31" s="30">
        <v>26.481921045805159</v>
      </c>
      <c r="U31" s="30">
        <v>16.632509677368851</v>
      </c>
      <c r="V31" s="39">
        <v>-2.3087380837157561</v>
      </c>
      <c r="W31" s="30">
        <v>1.5816000000000001</v>
      </c>
      <c r="X31" s="30">
        <v>0.86520000000000008</v>
      </c>
      <c r="Y31" s="30">
        <v>37.495342980632884</v>
      </c>
      <c r="Z31" s="30">
        <v>23.92366006353058</v>
      </c>
      <c r="AA31" s="39">
        <v>-2.0848541623893349</v>
      </c>
      <c r="AB31" s="120">
        <v>3.0516000000000005</v>
      </c>
      <c r="AC31" s="30">
        <v>1.3908</v>
      </c>
      <c r="AD31" s="30">
        <v>46.180046646047352</v>
      </c>
      <c r="AE31" s="30">
        <v>17.014213515191038</v>
      </c>
      <c r="AF31" s="39">
        <v>-2.3504521254231312</v>
      </c>
    </row>
    <row r="32">
      <c r="A32" s="42" t="s">
        <v>139</v>
      </c>
      <c r="B32" s="43">
        <v>1</v>
      </c>
      <c r="C32" s="119">
        <v>7.0700000000000003</v>
      </c>
      <c r="D32" s="30">
        <v>10.860299196557966</v>
      </c>
      <c r="E32" s="30">
        <v>-0.033445893117054454</v>
      </c>
      <c r="F32" s="30">
        <v>0.0013019414416546304</v>
      </c>
      <c r="G32" s="30">
        <v>0.0013050697632920481</v>
      </c>
      <c r="H32" s="97">
        <v>13.444500000000001</v>
      </c>
      <c r="I32" s="30">
        <v>6.5115000000000007</v>
      </c>
      <c r="J32" s="30">
        <v>10.265443769437908</v>
      </c>
      <c r="K32" s="30">
        <v>0.80803756824320261</v>
      </c>
      <c r="L32" s="30">
        <v>-3.7916192401645619</v>
      </c>
      <c r="M32" s="120">
        <v>5.6736000000000004</v>
      </c>
      <c r="N32" s="30">
        <v>2.6928000000000001</v>
      </c>
      <c r="O32" s="30">
        <v>17.897063229643258</v>
      </c>
      <c r="P32" s="30">
        <v>3.3633623189844237</v>
      </c>
      <c r="Q32" s="39">
        <v>-3.2815413442512535</v>
      </c>
      <c r="R32" s="120">
        <v>9.1776</v>
      </c>
      <c r="S32" s="30">
        <v>4.377600000000001</v>
      </c>
      <c r="T32" s="30">
        <v>28.048719133182647</v>
      </c>
      <c r="U32" s="30">
        <v>3.1818796738319528</v>
      </c>
      <c r="V32" s="39">
        <v>-3.0438843617082809</v>
      </c>
      <c r="W32" s="30">
        <v>15.253500000000001</v>
      </c>
      <c r="X32" s="30">
        <v>6.9465000000000003</v>
      </c>
      <c r="Y32" s="30">
        <v>37.46281695655464</v>
      </c>
      <c r="Z32" s="30">
        <v>2.6501784974676541</v>
      </c>
      <c r="AA32" s="39">
        <v>-3.4821645447434189</v>
      </c>
      <c r="AB32" s="120">
        <v>7.0728000000000009</v>
      </c>
      <c r="AC32" s="30">
        <v>3.5316000000000001</v>
      </c>
      <c r="AD32" s="30">
        <v>44.238138833175221</v>
      </c>
      <c r="AE32" s="30">
        <v>6.5712336928182769</v>
      </c>
      <c r="AF32" s="39">
        <v>-2.883372925620292</v>
      </c>
    </row>
    <row r="33">
      <c r="A33" s="42" t="s">
        <v>138</v>
      </c>
      <c r="B33" s="43">
        <v>1</v>
      </c>
      <c r="C33" s="126">
        <v>7.0700000000000003</v>
      </c>
      <c r="D33" s="30">
        <v>3.4263899437008365</v>
      </c>
      <c r="E33" s="30">
        <v>0.34231397133499653</v>
      </c>
      <c r="F33" s="30">
        <v>0.45885513303576198</v>
      </c>
      <c r="G33" s="30">
        <v>0.45896591066168146</v>
      </c>
      <c r="H33" s="97">
        <v>7.2599999999999998</v>
      </c>
      <c r="I33" s="30">
        <v>3.7200000000000006</v>
      </c>
      <c r="J33" s="30">
        <v>9.6031530171018424</v>
      </c>
      <c r="K33" s="30">
        <v>1.3479862832565712</v>
      </c>
      <c r="L33" s="30">
        <v>-2.8799856046453147</v>
      </c>
      <c r="M33" s="120">
        <v>10.960800000000001</v>
      </c>
      <c r="N33" s="30">
        <v>5.2428000000000008</v>
      </c>
      <c r="O33" s="30">
        <v>19.394316372308346</v>
      </c>
      <c r="P33" s="30">
        <v>1.7946456769229484</v>
      </c>
      <c r="Q33" s="39">
        <v>-2.8192314638629687</v>
      </c>
      <c r="R33" s="120">
        <v>9.7044000000000015</v>
      </c>
      <c r="S33" s="30">
        <v>4.5827999999999998</v>
      </c>
      <c r="T33" s="30">
        <v>28.963870155786474</v>
      </c>
      <c r="U33" s="30">
        <v>3.0094520137928602</v>
      </c>
      <c r="V33" s="39">
        <v>-2.2118457358675219</v>
      </c>
      <c r="W33" s="30">
        <v>9.5519999999999996</v>
      </c>
      <c r="X33" s="30">
        <v>5.2215000000000007</v>
      </c>
      <c r="Y33" s="30">
        <v>38.290320738974913</v>
      </c>
      <c r="Z33" s="30">
        <v>4.0535023866554303</v>
      </c>
      <c r="AA33" s="39">
        <v>-2.3601336043323573</v>
      </c>
      <c r="AB33" s="120">
        <v>14.5572</v>
      </c>
      <c r="AC33" s="30">
        <v>7.9500000000000002</v>
      </c>
      <c r="AD33" s="30">
        <v>47.640142639445635</v>
      </c>
      <c r="AE33" s="30">
        <v>3.3201006756130353</v>
      </c>
      <c r="AF33" s="39">
        <v>-2.5815567186717834</v>
      </c>
    </row>
    <row r="34" ht="15">
      <c r="A34" s="62" t="s">
        <v>138</v>
      </c>
      <c r="B34" s="81">
        <v>1</v>
      </c>
      <c r="C34" s="142">
        <v>7.0899999999999999</v>
      </c>
      <c r="D34" s="30">
        <v>0.41808772322681415</v>
      </c>
      <c r="E34" s="30">
        <v>0.70798973290265454</v>
      </c>
      <c r="F34" s="30">
        <v>0.64376908840413849</v>
      </c>
      <c r="G34" s="30">
        <v>0.65287871219612148</v>
      </c>
      <c r="H34" s="97">
        <v>3.3195999999999999</v>
      </c>
      <c r="I34" s="30">
        <v>1.4012</v>
      </c>
      <c r="J34" s="30">
        <v>9.6921725144590418</v>
      </c>
      <c r="K34" s="30">
        <v>2.9687116283379327</v>
      </c>
      <c r="L34" s="30">
        <v>-2.4020531526565989</v>
      </c>
      <c r="M34" s="120">
        <v>3.0804</v>
      </c>
      <c r="N34" s="30">
        <v>1.4808000000000001</v>
      </c>
      <c r="O34" s="30">
        <v>20.748864712901849</v>
      </c>
      <c r="P34" s="30">
        <v>6.81795457340358</v>
      </c>
      <c r="Q34" s="39">
        <v>-2.1585573474754716</v>
      </c>
      <c r="R34" s="120">
        <v>3.5196000000000005</v>
      </c>
      <c r="S34" s="30">
        <v>1.6104000000000003</v>
      </c>
      <c r="T34" s="30">
        <v>29.252122947669967</v>
      </c>
      <c r="U34" s="30">
        <v>8.4137260598145343</v>
      </c>
      <c r="V34" s="39">
        <v>-2.2381836671535802</v>
      </c>
      <c r="W34" s="30">
        <v>5.5560000000000009</v>
      </c>
      <c r="X34" s="30">
        <v>2.5476000000000001</v>
      </c>
      <c r="Y34" s="30">
        <v>39.480538685206284</v>
      </c>
      <c r="Z34" s="30">
        <v>7.2340152765668275</v>
      </c>
      <c r="AA34" s="39">
        <v>-2.4735241657097662</v>
      </c>
      <c r="AB34" s="120">
        <v>7.1736000000000004</v>
      </c>
      <c r="AC34" s="30">
        <v>3.2016000000000004</v>
      </c>
      <c r="AD34" s="30">
        <v>48.30109723792399</v>
      </c>
      <c r="AE34" s="30">
        <v>6.8633417936365451</v>
      </c>
      <c r="AF34" s="39">
        <v>-2.78543525358775</v>
      </c>
    </row>
    <row r="35">
      <c r="A35" s="42" t="s">
        <v>139</v>
      </c>
      <c r="B35" s="43">
        <v>1</v>
      </c>
      <c r="C35" s="98">
        <v>7.1100000000000003</v>
      </c>
      <c r="D35" s="30">
        <v>74.65025841734996</v>
      </c>
      <c r="E35" s="30">
        <v>-0.75454052806448513</v>
      </c>
      <c r="F35" s="30">
        <v>0.39007669085684948</v>
      </c>
      <c r="G35" s="30">
        <v>0.39638784472107597</v>
      </c>
      <c r="H35" s="97">
        <v>14.0648</v>
      </c>
      <c r="I35" s="30">
        <v>6.9056000000000015</v>
      </c>
      <c r="J35" s="30">
        <v>10.500569019540185</v>
      </c>
      <c r="K35" s="30">
        <v>0.80982404338588077</v>
      </c>
      <c r="L35" s="30">
        <v>-2.8762123118749727</v>
      </c>
      <c r="M35" s="120">
        <v>3.7664999999999997</v>
      </c>
      <c r="N35" s="30">
        <v>1.8015000000000001</v>
      </c>
      <c r="O35" s="30">
        <v>20.142399422857416</v>
      </c>
      <c r="P35" s="30">
        <v>5.4291650288267599</v>
      </c>
      <c r="Q35" s="39">
        <v>-2.2691483037566109</v>
      </c>
      <c r="R35" s="120">
        <v>4.4355000000000002</v>
      </c>
      <c r="S35" s="30">
        <v>2.0955000000000004</v>
      </c>
      <c r="T35" s="30">
        <v>29.443583878625759</v>
      </c>
      <c r="U35" s="30">
        <v>6.8421908972580914</v>
      </c>
      <c r="V35" s="39">
        <v>-2.3201219681437486</v>
      </c>
      <c r="W35" s="30">
        <v>4.2732000000000001</v>
      </c>
      <c r="X35" s="30">
        <v>1.9788000000000001</v>
      </c>
      <c r="Y35" s="30">
        <v>38.644126699969618</v>
      </c>
      <c r="Z35" s="30">
        <v>9.394657930966094</v>
      </c>
      <c r="AA35" s="39">
        <v>-2.1734565552966219</v>
      </c>
      <c r="AB35" s="120">
        <v>8.1059999999999999</v>
      </c>
      <c r="AC35" s="30">
        <v>3.9816000000000003</v>
      </c>
      <c r="AD35" s="30">
        <v>47.945361106231488</v>
      </c>
      <c r="AE35" s="30">
        <v>6.7942296275894307</v>
      </c>
      <c r="AF35" s="39">
        <v>-2.4511689573285054</v>
      </c>
    </row>
    <row r="36">
      <c r="A36" s="52" t="s">
        <v>138</v>
      </c>
      <c r="B36" s="43">
        <v>1</v>
      </c>
      <c r="C36" s="152">
        <v>8</v>
      </c>
      <c r="D36" s="30">
        <v>1.8845289667410345</v>
      </c>
      <c r="E36" s="30">
        <v>0.50458492158341106</v>
      </c>
      <c r="F36" s="30">
        <v>0.71608220382196386</v>
      </c>
      <c r="G36" s="30">
        <v>0.71628206946665851</v>
      </c>
      <c r="H36" s="97">
        <v>6.025500000000001</v>
      </c>
      <c r="I36" s="30">
        <v>3.0375000000000001</v>
      </c>
      <c r="J36" s="30">
        <v>10.475511538711766</v>
      </c>
      <c r="K36" s="30">
        <v>1.7481691651012201</v>
      </c>
      <c r="L36" s="30">
        <v>-3.1840084819502028</v>
      </c>
      <c r="M36" s="120">
        <v>6.516</v>
      </c>
      <c r="N36" s="30">
        <v>2.214</v>
      </c>
      <c r="O36" s="30">
        <v>20.364946745718811</v>
      </c>
      <c r="P36" s="30">
        <v>3.1253754981152255</v>
      </c>
      <c r="Q36" s="39">
        <v>-2.9412315322096938</v>
      </c>
      <c r="R36" s="120">
        <v>10.983000000000001</v>
      </c>
      <c r="S36" s="30">
        <v>4.9380000000000006</v>
      </c>
      <c r="T36" s="30">
        <v>29.491671085228369</v>
      </c>
      <c r="U36" s="30">
        <v>2.7117433499918882</v>
      </c>
      <c r="V36" s="39">
        <v>-3.2502947540761098</v>
      </c>
      <c r="W36" s="30">
        <v>14.562000000000001</v>
      </c>
      <c r="X36" s="30">
        <v>7.0410000000000004</v>
      </c>
      <c r="Y36" s="30">
        <v>39.140270298389709</v>
      </c>
      <c r="Z36" s="30">
        <v>2.7956532245127423</v>
      </c>
      <c r="AA36" s="39">
        <v>-2.9867883876928207</v>
      </c>
      <c r="AB36" s="120">
        <v>12.555000000000001</v>
      </c>
      <c r="AC36" s="30">
        <v>6.0134999999999996</v>
      </c>
      <c r="AD36" s="30">
        <v>49.653086453353147</v>
      </c>
      <c r="AE36" s="30">
        <v>3.9958690647947051</v>
      </c>
      <c r="AF36" s="39">
        <v>-3.0784076883529292</v>
      </c>
    </row>
    <row r="37">
      <c r="A37" s="42" t="s">
        <v>139</v>
      </c>
      <c r="B37" s="43">
        <v>1</v>
      </c>
      <c r="C37" s="151">
        <v>8</v>
      </c>
      <c r="D37" s="30">
        <v>2.2829706493502244</v>
      </c>
      <c r="E37" s="30">
        <v>0.28897434155052709</v>
      </c>
      <c r="F37" s="30">
        <v>0.19702685681746812</v>
      </c>
      <c r="G37" s="30">
        <v>0.19780353195404002</v>
      </c>
      <c r="H37" s="97">
        <v>5.3583999999999996</v>
      </c>
      <c r="I37" s="30">
        <v>2.2816000000000001</v>
      </c>
      <c r="J37" s="30">
        <v>9.9441801852777676</v>
      </c>
      <c r="K37" s="30">
        <v>2.0227860270753419</v>
      </c>
      <c r="L37" s="30">
        <v>-2.8054934302215182</v>
      </c>
      <c r="M37" s="120">
        <v>4.9536000000000007</v>
      </c>
      <c r="N37" s="30">
        <v>2.2907999999999999</v>
      </c>
      <c r="O37" s="30">
        <v>19.581636949979288</v>
      </c>
      <c r="P37" s="30">
        <v>4.0392452837926571</v>
      </c>
      <c r="Q37" s="39">
        <v>-2.6370201697679683</v>
      </c>
      <c r="R37" s="120">
        <v>3.8628</v>
      </c>
      <c r="S37" s="30">
        <v>1.7448000000000001</v>
      </c>
      <c r="T37" s="30">
        <v>28.570339813605035</v>
      </c>
      <c r="U37" s="30">
        <v>7.4952714502670101</v>
      </c>
      <c r="V37" s="39">
        <v>-2.3007837237823971</v>
      </c>
      <c r="W37" s="30">
        <v>8.1480000000000015</v>
      </c>
      <c r="X37" s="30">
        <v>3.6000000000000001</v>
      </c>
      <c r="Y37" s="30">
        <v>38.272487598318037</v>
      </c>
      <c r="Z37" s="30">
        <v>4.7117953390743343</v>
      </c>
      <c r="AA37" s="39">
        <v>-2.5991613963833764</v>
      </c>
      <c r="AB37" s="120">
        <v>7.0548000000000002</v>
      </c>
      <c r="AC37" s="30">
        <v>3.6132000000000004</v>
      </c>
      <c r="AD37" s="30">
        <v>47.225191006800529</v>
      </c>
      <c r="AE37" s="30">
        <v>7.0560304912366245</v>
      </c>
      <c r="AF37" s="39">
        <v>-2.5301881345112074</v>
      </c>
    </row>
    <row r="38">
      <c r="A38" s="42" t="s">
        <v>138</v>
      </c>
      <c r="B38" s="43">
        <v>1</v>
      </c>
      <c r="C38" s="149">
        <v>8.0099999999999998</v>
      </c>
      <c r="D38" s="30">
        <v>0.17418014458893097</v>
      </c>
      <c r="E38" s="30">
        <v>0.78478158403831522</v>
      </c>
      <c r="F38" s="30">
        <v>0.72860167586212765</v>
      </c>
      <c r="G38" s="30">
        <v>0.73107747660838118</v>
      </c>
      <c r="H38" s="97">
        <v>1.3620000000000001</v>
      </c>
      <c r="I38" s="30">
        <v>0.70550000000000002</v>
      </c>
      <c r="J38" s="30">
        <v>10.067312418134396</v>
      </c>
      <c r="K38" s="30">
        <v>7.4968800928989809</v>
      </c>
      <c r="L38" s="30">
        <v>-2.1114476094957402</v>
      </c>
      <c r="M38" s="120">
        <v>1.8105</v>
      </c>
      <c r="N38" s="30">
        <v>0.86850000000000005</v>
      </c>
      <c r="O38" s="30">
        <v>19.376044888537578</v>
      </c>
      <c r="P38" s="30">
        <v>10.709235682481671</v>
      </c>
      <c r="Q38" s="39">
        <v>-2.4735793206319694</v>
      </c>
      <c r="R38" s="120">
        <v>2.226</v>
      </c>
      <c r="S38" s="30">
        <v>1.0451999999999999</v>
      </c>
      <c r="T38" s="30">
        <v>27.586735284297696</v>
      </c>
      <c r="U38" s="30">
        <v>13.185685458949283</v>
      </c>
      <c r="V38" s="39">
        <v>-2.4904310886926959</v>
      </c>
      <c r="W38" s="30">
        <v>2.5823999999999998</v>
      </c>
      <c r="X38" s="30">
        <v>1.0608</v>
      </c>
      <c r="Y38" s="30">
        <v>37.230300943108439</v>
      </c>
      <c r="Z38" s="30">
        <v>14.790113860917637</v>
      </c>
      <c r="AA38" s="39">
        <v>-2.565407830048966</v>
      </c>
      <c r="AB38" s="120">
        <v>4.008</v>
      </c>
      <c r="AC38" s="30">
        <v>1.9050000000000002</v>
      </c>
      <c r="AD38" s="30">
        <v>47.29044923317727</v>
      </c>
      <c r="AE38" s="30">
        <v>11.958388490582799</v>
      </c>
      <c r="AF38" s="39">
        <v>-2.2761446277375752</v>
      </c>
    </row>
    <row r="39">
      <c r="A39" s="42" t="s">
        <v>138</v>
      </c>
      <c r="B39" s="43">
        <v>2</v>
      </c>
      <c r="C39" s="149">
        <v>8.0099999999999998</v>
      </c>
      <c r="D39" s="30">
        <v>1.6001397192826476</v>
      </c>
      <c r="E39" s="30">
        <v>0.46806452890448119</v>
      </c>
      <c r="F39" s="30">
        <v>0.73120781903849141</v>
      </c>
      <c r="G39" s="30">
        <v>0.73179584025736188</v>
      </c>
      <c r="H39" s="97">
        <v>5.2067999999999994</v>
      </c>
      <c r="I39" s="30">
        <v>2.7432000000000003</v>
      </c>
      <c r="J39" s="30">
        <v>9.7466390827395504</v>
      </c>
      <c r="K39" s="30">
        <v>1.9308933578494281</v>
      </c>
      <c r="L39" s="30">
        <v>-2.4776632156670622</v>
      </c>
      <c r="M39" s="120">
        <v>6.1068000000000007</v>
      </c>
      <c r="N39" s="30">
        <v>2.8428</v>
      </c>
      <c r="O39" s="30">
        <v>19.79656867575391</v>
      </c>
      <c r="P39" s="30">
        <v>3.3178019417868398</v>
      </c>
      <c r="Q39" s="39">
        <v>-2.3449989834696785</v>
      </c>
      <c r="R39" s="120">
        <v>6.9612000000000007</v>
      </c>
      <c r="S39" s="30">
        <v>3.3204000000000002</v>
      </c>
      <c r="T39" s="30">
        <v>29.189686812837714</v>
      </c>
      <c r="U39" s="30">
        <v>4.2491929233525365</v>
      </c>
      <c r="V39" s="39">
        <v>-2.2291050165145139</v>
      </c>
      <c r="W39" s="30">
        <v>9.3792000000000009</v>
      </c>
      <c r="X39" s="30">
        <v>4.611600000000001</v>
      </c>
      <c r="Y39" s="30">
        <v>38.649559655170684</v>
      </c>
      <c r="Z39" s="30">
        <v>4.2008865026845381</v>
      </c>
      <c r="AA39" s="39">
        <v>-2.4678333204111658</v>
      </c>
      <c r="AB39" s="120">
        <v>10.036799999999999</v>
      </c>
      <c r="AC39" s="30">
        <v>4.6547999999999998</v>
      </c>
      <c r="AD39" s="30">
        <v>49.103967455335138</v>
      </c>
      <c r="AE39" s="30">
        <v>4.9135946453383097</v>
      </c>
      <c r="AF39" s="39">
        <v>-2.560311958019299</v>
      </c>
    </row>
    <row r="40">
      <c r="A40" s="42" t="s">
        <v>138</v>
      </c>
      <c r="B40" s="43">
        <v>2</v>
      </c>
      <c r="C40" s="149">
        <v>8.0099999999999998</v>
      </c>
      <c r="D40" s="30">
        <v>1.0794005324500864</v>
      </c>
      <c r="E40" s="30">
        <v>0.41625180248674265</v>
      </c>
      <c r="F40" s="30">
        <v>0.4668012120561198</v>
      </c>
      <c r="G40" s="30">
        <v>0.46772282962472367</v>
      </c>
      <c r="H40" s="97">
        <v>3.4512</v>
      </c>
      <c r="I40" s="30">
        <v>1.6559999999999999</v>
      </c>
      <c r="J40" s="30">
        <v>10.145320934576096</v>
      </c>
      <c r="K40" s="30">
        <v>2.986896955372774</v>
      </c>
      <c r="L40" s="30">
        <v>-2.5853063502759976</v>
      </c>
      <c r="M40" s="120">
        <v>2.8487999999999998</v>
      </c>
      <c r="N40" s="30">
        <v>1.3260000000000001</v>
      </c>
      <c r="O40" s="30">
        <v>19.842340781715734</v>
      </c>
      <c r="P40" s="30">
        <v>7.1219496059441898</v>
      </c>
      <c r="Q40" s="39">
        <v>-2.3542823374931112</v>
      </c>
      <c r="R40" s="120">
        <v>4.9056000000000015</v>
      </c>
      <c r="S40" s="30">
        <v>2.3628</v>
      </c>
      <c r="T40" s="30">
        <v>29.588929588345557</v>
      </c>
      <c r="U40" s="30">
        <v>6.0703685120772644</v>
      </c>
      <c r="V40" s="39">
        <v>-2.4022291381339507</v>
      </c>
      <c r="W40" s="30">
        <v>4.1652000000000005</v>
      </c>
      <c r="X40" s="30">
        <v>1.8072000000000004</v>
      </c>
      <c r="Y40" s="30">
        <v>39.0517555409577</v>
      </c>
      <c r="Z40" s="30">
        <v>9.4843858767007614</v>
      </c>
      <c r="AA40" s="39">
        <v>-2.7159530827992731</v>
      </c>
      <c r="AB40" s="120">
        <v>6.0755999999999997</v>
      </c>
      <c r="AC40" s="30">
        <v>2.9868000000000001</v>
      </c>
      <c r="AD40" s="30">
        <v>48.87574481223669</v>
      </c>
      <c r="AE40" s="30">
        <v>8.3033071453457055</v>
      </c>
      <c r="AF40" s="39">
        <v>-2.2351898194392636</v>
      </c>
    </row>
    <row r="41">
      <c r="A41" s="43" t="s">
        <v>139</v>
      </c>
      <c r="B41" s="43">
        <v>1</v>
      </c>
      <c r="C41" s="149">
        <v>8.0199999999999996</v>
      </c>
      <c r="D41" s="30">
        <v>2.0621362932736069</v>
      </c>
      <c r="E41" s="30">
        <v>0.32296309737757672</v>
      </c>
      <c r="F41" s="30">
        <v>0.056220168840630302</v>
      </c>
      <c r="G41" s="30">
        <v>0.05740210612718645</v>
      </c>
      <c r="H41" s="97">
        <v>5.1560000000000006</v>
      </c>
      <c r="I41" s="30">
        <v>2.3560000000000003</v>
      </c>
      <c r="J41" s="30">
        <v>9.3053417754146199</v>
      </c>
      <c r="K41" s="30">
        <v>1.8213261530472691</v>
      </c>
      <c r="L41" s="30">
        <v>-2.4084747799118342</v>
      </c>
      <c r="M41" s="120">
        <v>7.3170000000000002</v>
      </c>
      <c r="N41" s="30">
        <v>3.7155000000000005</v>
      </c>
      <c r="O41" s="30">
        <v>20.175890432589057</v>
      </c>
      <c r="P41" s="30">
        <v>2.8541128943494547</v>
      </c>
      <c r="Q41" s="39">
        <v>-3.2385922139697692</v>
      </c>
      <c r="R41" s="120">
        <v>3.0491999999999999</v>
      </c>
      <c r="S41" s="30">
        <v>1.3560000000000001</v>
      </c>
      <c r="T41" s="30">
        <v>29.929453271763997</v>
      </c>
      <c r="U41" s="30">
        <v>10.170769818522011</v>
      </c>
      <c r="V41" s="39">
        <v>-2.1926102560684977</v>
      </c>
      <c r="W41" s="30">
        <v>4.2168000000000001</v>
      </c>
      <c r="X41" s="30">
        <v>1.8528000000000002</v>
      </c>
      <c r="Y41" s="30">
        <v>39.098881533738812</v>
      </c>
      <c r="Z41" s="30">
        <v>9.7525607208564686</v>
      </c>
      <c r="AA41" s="39">
        <v>-2.4437959959283631</v>
      </c>
      <c r="AB41" s="120">
        <v>11.586</v>
      </c>
      <c r="AC41" s="30">
        <v>5.205000000000001</v>
      </c>
      <c r="AD41" s="30">
        <v>48.189247850688446</v>
      </c>
      <c r="AE41" s="30">
        <v>4.7435952985598311</v>
      </c>
      <c r="AF41" s="39">
        <v>-2.8517583892132059</v>
      </c>
    </row>
    <row r="42">
      <c r="A42" s="42" t="s">
        <v>138</v>
      </c>
      <c r="B42" s="43">
        <v>2</v>
      </c>
      <c r="C42" s="149">
        <v>8.0199999999999996</v>
      </c>
      <c r="D42" s="30">
        <v>2.2896923689981818</v>
      </c>
      <c r="E42" s="30">
        <v>0.37433647819320681</v>
      </c>
      <c r="F42" s="30">
        <v>0.10831189748814285</v>
      </c>
      <c r="G42" s="30">
        <v>0.10882621854105433</v>
      </c>
      <c r="H42" s="97">
        <v>7.2053333333333329</v>
      </c>
      <c r="I42" s="30">
        <v>3.5600000000000001</v>
      </c>
      <c r="J42" s="30">
        <v>9.9633623905257753</v>
      </c>
      <c r="K42" s="30">
        <v>1.488657097927832</v>
      </c>
      <c r="L42" s="30">
        <v>-2.8649354132876521</v>
      </c>
      <c r="M42" s="120">
        <v>5.2728000000000002</v>
      </c>
      <c r="N42" s="30">
        <v>2.7852000000000006</v>
      </c>
      <c r="O42" s="30">
        <v>19.722441631862889</v>
      </c>
      <c r="P42" s="30">
        <v>4.0415785659892567</v>
      </c>
      <c r="Q42" s="39">
        <v>-2.6541074290001276</v>
      </c>
      <c r="R42" s="120">
        <v>10.396800000000002</v>
      </c>
      <c r="S42" s="30">
        <v>5.1720000000000006</v>
      </c>
      <c r="T42" s="30">
        <v>29.513102051526367</v>
      </c>
      <c r="U42" s="30">
        <v>3.4957564832060628</v>
      </c>
      <c r="V42" s="39">
        <v>-3.0408120338020992</v>
      </c>
      <c r="W42" s="30">
        <v>5.6400000000000006</v>
      </c>
      <c r="X42" s="30">
        <v>2.9772000000000003</v>
      </c>
      <c r="Y42" s="30">
        <v>38.228872176420012</v>
      </c>
      <c r="Z42" s="30">
        <v>7.1823842594799361</v>
      </c>
      <c r="AA42" s="39">
        <v>-2.3436755195115699</v>
      </c>
      <c r="AB42" s="120">
        <v>12.021000000000001</v>
      </c>
      <c r="AC42" s="30">
        <v>5.7690000000000001</v>
      </c>
      <c r="AD42" s="30">
        <v>48.937259516969618</v>
      </c>
      <c r="AE42" s="30">
        <v>4.1830788819361961</v>
      </c>
      <c r="AF42" s="39">
        <v>-2.5180259434544818</v>
      </c>
    </row>
    <row r="43">
      <c r="A43" s="42" t="s">
        <v>138</v>
      </c>
      <c r="B43" s="43">
        <v>1</v>
      </c>
      <c r="C43" s="149">
        <v>8.0399999999999991</v>
      </c>
      <c r="D43" s="30">
        <v>0.44175145168779673</v>
      </c>
      <c r="E43" s="30">
        <v>0.47616123576257524</v>
      </c>
      <c r="F43" s="30">
        <v>0.45933850444786861</v>
      </c>
      <c r="G43" s="30">
        <v>0.45935118647373285</v>
      </c>
      <c r="H43" s="97">
        <v>1.1340000000000001</v>
      </c>
      <c r="I43" s="30">
        <v>0.60080000000000011</v>
      </c>
      <c r="J43" s="30">
        <v>9.8433177103262945</v>
      </c>
      <c r="K43" s="30">
        <v>9.0959217971347748</v>
      </c>
      <c r="L43" s="30">
        <v>-2.039228367817151</v>
      </c>
      <c r="M43" s="120">
        <v>2.1863999999999999</v>
      </c>
      <c r="N43" s="30">
        <v>1.0512000000000001</v>
      </c>
      <c r="O43" s="30">
        <v>19.478629382007504</v>
      </c>
      <c r="P43" s="30">
        <v>8.9367569343176143</v>
      </c>
      <c r="Q43" s="39">
        <v>-2.2576465826443055</v>
      </c>
      <c r="R43" s="120">
        <v>2.3712</v>
      </c>
      <c r="S43" s="30">
        <v>1.2647999999999999</v>
      </c>
      <c r="T43" s="30">
        <v>28.670230212460933</v>
      </c>
      <c r="U43" s="30">
        <v>12.267121254677352</v>
      </c>
      <c r="V43" s="39">
        <v>-2.1487738459949761</v>
      </c>
      <c r="W43" s="30">
        <v>1.7700000000000002</v>
      </c>
      <c r="X43" s="30">
        <v>0.94320000000000004</v>
      </c>
      <c r="Y43" s="30">
        <v>36.723006214244649</v>
      </c>
      <c r="Z43" s="30">
        <v>21.016714770341594</v>
      </c>
      <c r="AA43" s="39">
        <v>-2.0008722637005123</v>
      </c>
      <c r="AB43" s="120">
        <v>3.0743999999999998</v>
      </c>
      <c r="AC43" s="30">
        <v>1.6596</v>
      </c>
      <c r="AD43" s="30">
        <v>47.359504638168971</v>
      </c>
      <c r="AE43" s="30">
        <v>16.504339435838695</v>
      </c>
      <c r="AF43" s="39">
        <v>-2.1608827678080056</v>
      </c>
    </row>
    <row r="44">
      <c r="A44" s="43" t="s">
        <v>139</v>
      </c>
      <c r="B44" s="43">
        <v>1</v>
      </c>
      <c r="C44" s="149">
        <v>8.0500000000000007</v>
      </c>
      <c r="D44" s="30">
        <v>4.0264540837549667</v>
      </c>
      <c r="E44" s="30">
        <v>0.15620599265353188</v>
      </c>
      <c r="F44" s="30">
        <v>0.053439761249377216</v>
      </c>
      <c r="G44" s="30">
        <v>0.053455921915353338</v>
      </c>
      <c r="H44" s="97">
        <v>4.8399999999999999</v>
      </c>
      <c r="I44" s="30">
        <v>3.8559999999999999</v>
      </c>
      <c r="J44" s="30">
        <v>6.8467669381595622</v>
      </c>
      <c r="K44" s="30">
        <v>1.5383481748771219</v>
      </c>
      <c r="L44" s="30">
        <v>-3.3077363667046891</v>
      </c>
      <c r="M44" s="120">
        <v>7.9889999999999999</v>
      </c>
      <c r="N44" s="30">
        <v>4.3380000000000001</v>
      </c>
      <c r="O44" s="30">
        <v>20.187136922289501</v>
      </c>
      <c r="P44" s="30">
        <v>2.9186065010350375</v>
      </c>
      <c r="Q44" s="39">
        <v>-3.2253768002174574</v>
      </c>
      <c r="R44" s="120">
        <v>3.8400000000000003</v>
      </c>
      <c r="S44" s="30">
        <v>1.8360000000000001</v>
      </c>
      <c r="T44" s="30">
        <v>29.104846417832945</v>
      </c>
      <c r="U44" s="30">
        <v>7.7386604559278842</v>
      </c>
      <c r="V44" s="39">
        <v>-2.6624682785178733</v>
      </c>
      <c r="W44" s="30">
        <v>8.9939999999999998</v>
      </c>
      <c r="X44" s="30">
        <v>4.6965000000000003</v>
      </c>
      <c r="Y44" s="30">
        <v>38.245044079196902</v>
      </c>
      <c r="Z44" s="30">
        <v>4.34221740412519</v>
      </c>
      <c r="AA44" s="39">
        <v>-3.2146574604164107</v>
      </c>
      <c r="AB44" s="120">
        <v>7.1820000000000013</v>
      </c>
      <c r="AC44" s="30">
        <v>3.9570000000000007</v>
      </c>
      <c r="AD44" s="30">
        <v>47.75978831769909</v>
      </c>
      <c r="AE44" s="30">
        <v>6.7765110878418584</v>
      </c>
      <c r="AF44" s="39">
        <v>-2.7929789325414571</v>
      </c>
    </row>
    <row r="45">
      <c r="A45" s="42" t="s">
        <v>138</v>
      </c>
      <c r="B45" s="43">
        <v>1</v>
      </c>
      <c r="C45" s="149">
        <v>8.0600000000000005</v>
      </c>
      <c r="D45" s="30">
        <v>1.7440174003268232</v>
      </c>
      <c r="E45" s="30">
        <v>0.32121358854971832</v>
      </c>
      <c r="F45" s="30">
        <v>0.50122536722557443</v>
      </c>
      <c r="G45" s="30">
        <v>0.5013040468664185</v>
      </c>
      <c r="H45" s="97">
        <v>3.8988</v>
      </c>
      <c r="I45" s="30">
        <v>1.7704000000000004</v>
      </c>
      <c r="J45" s="30">
        <v>10.287574223254666</v>
      </c>
      <c r="K45" s="30">
        <v>2.6731192386955431</v>
      </c>
      <c r="L45" s="30">
        <v>-2.4508912373761937</v>
      </c>
      <c r="M45" s="120">
        <v>4.2765000000000004</v>
      </c>
      <c r="N45" s="30">
        <v>2.0790000000000002</v>
      </c>
      <c r="O45" s="30">
        <v>20.407833267045987</v>
      </c>
      <c r="P45" s="30">
        <v>4.793535801076982</v>
      </c>
      <c r="Q45" s="39">
        <v>-2.310072323143455</v>
      </c>
      <c r="R45" s="120">
        <v>4.6463999999999999</v>
      </c>
      <c r="S45" s="30">
        <v>2.1636000000000002</v>
      </c>
      <c r="T45" s="30">
        <v>30.098145906689304</v>
      </c>
      <c r="U45" s="30">
        <v>6.5293330258039193</v>
      </c>
      <c r="V45" s="39">
        <v>-2.2691213514306154</v>
      </c>
      <c r="W45" s="30">
        <v>6.5448000000000004</v>
      </c>
      <c r="X45" s="30">
        <v>2.9004000000000003</v>
      </c>
      <c r="Y45" s="30">
        <v>38.646187549655465</v>
      </c>
      <c r="Z45" s="30">
        <v>6.0386519788144666</v>
      </c>
      <c r="AA45" s="39">
        <v>-2.3175868087802893</v>
      </c>
      <c r="AB45" s="120">
        <v>5.7923999999999998</v>
      </c>
      <c r="AC45" s="30">
        <v>2.7156000000000002</v>
      </c>
      <c r="AD45" s="30">
        <v>48.963744208736543</v>
      </c>
      <c r="AE45" s="30">
        <v>8.6100265427494183</v>
      </c>
      <c r="AF45" s="39">
        <v>-2.1866073741024481</v>
      </c>
    </row>
    <row r="46">
      <c r="A46" s="42" t="s">
        <v>139</v>
      </c>
      <c r="B46" s="43">
        <v>2</v>
      </c>
      <c r="C46" s="98">
        <v>8.0800000000000001</v>
      </c>
      <c r="D46" s="30">
        <v>1.611882862677098</v>
      </c>
      <c r="E46" s="30">
        <v>0.51613750905606737</v>
      </c>
      <c r="F46" s="30">
        <v>0.86662904994697654</v>
      </c>
      <c r="G46" s="30">
        <v>0.86689673325721006</v>
      </c>
      <c r="H46" s="97">
        <v>5.3040000000000003</v>
      </c>
      <c r="I46" s="30">
        <v>2.9264000000000001</v>
      </c>
      <c r="J46" s="30">
        <v>9.3509881646495341</v>
      </c>
      <c r="K46" s="30">
        <v>1.7697825383306587</v>
      </c>
      <c r="L46" s="30">
        <v>-2.7290035578565877</v>
      </c>
      <c r="M46" s="120">
        <v>7.7424000000000008</v>
      </c>
      <c r="N46" s="30">
        <v>3.8028000000000004</v>
      </c>
      <c r="O46" s="30">
        <v>18.976401814149227</v>
      </c>
      <c r="P46" s="30">
        <v>2.470418999577908</v>
      </c>
      <c r="Q46" s="39">
        <v>-2.9978629049548942</v>
      </c>
      <c r="R46" s="120">
        <v>8.4959999999999987</v>
      </c>
      <c r="S46" s="30">
        <v>4.056</v>
      </c>
      <c r="T46" s="30">
        <v>28.050060446860869</v>
      </c>
      <c r="U46" s="30">
        <v>3.307191532591113</v>
      </c>
      <c r="V46" s="39">
        <v>-2.9881454290866891</v>
      </c>
      <c r="W46" s="30">
        <v>9.8064</v>
      </c>
      <c r="X46" s="30">
        <v>5.2032000000000007</v>
      </c>
      <c r="Y46" s="30">
        <v>38.152614517388095</v>
      </c>
      <c r="Z46" s="30">
        <v>3.9211971072563259</v>
      </c>
      <c r="AA46" s="39">
        <v>-2.7901742482998677</v>
      </c>
      <c r="AB46" s="120">
        <v>12.572400000000002</v>
      </c>
      <c r="AC46" s="30">
        <v>6.0564</v>
      </c>
      <c r="AD46" s="30">
        <v>47.539254887811708</v>
      </c>
      <c r="AE46" s="30">
        <v>3.8078408766852085</v>
      </c>
      <c r="AF46" s="39">
        <v>-2.8325121151950978</v>
      </c>
    </row>
    <row r="47">
      <c r="A47" s="42" t="s">
        <v>139</v>
      </c>
      <c r="B47" s="43">
        <v>1</v>
      </c>
      <c r="C47" s="98">
        <v>8.0800000000000001</v>
      </c>
      <c r="D47" s="30">
        <v>6.804202759295892</v>
      </c>
      <c r="E47" s="30">
        <v>0.075298727198083462</v>
      </c>
      <c r="F47" s="30">
        <v>0.012910965771909533</v>
      </c>
      <c r="G47" s="30">
        <v>0.012921308788911973</v>
      </c>
      <c r="H47" s="97">
        <v>7.2460000000000004</v>
      </c>
      <c r="I47" s="30">
        <v>4.0720000000000001</v>
      </c>
      <c r="J47" s="30">
        <v>9.5426688010172604</v>
      </c>
      <c r="K47" s="30">
        <v>1.8900826550060468</v>
      </c>
      <c r="L47" s="30">
        <v>-2.4739355258432685</v>
      </c>
      <c r="M47" s="120">
        <v>10.006800000000002</v>
      </c>
      <c r="N47" s="30">
        <v>5.1383999999999999</v>
      </c>
      <c r="O47" s="30">
        <v>18.230747119366647</v>
      </c>
      <c r="P47" s="30">
        <v>1.9147122707844608</v>
      </c>
      <c r="Q47" s="39">
        <v>-2.6622927263102767</v>
      </c>
      <c r="R47" s="120">
        <v>9.5808</v>
      </c>
      <c r="S47" s="30">
        <v>5.6519999999999992</v>
      </c>
      <c r="T47" s="30">
        <v>27.239508762671914</v>
      </c>
      <c r="U47" s="30">
        <v>3.0727811744043998</v>
      </c>
      <c r="V47" s="39">
        <v>-2.5179131365095819</v>
      </c>
      <c r="W47" s="30">
        <v>6.4199999999999999</v>
      </c>
      <c r="X47" s="30">
        <v>3.0252000000000003</v>
      </c>
      <c r="Y47" s="30">
        <v>34.371023216414208</v>
      </c>
      <c r="Z47" s="30">
        <v>5.3546197129793436</v>
      </c>
      <c r="AA47" s="39">
        <v>-2.5573324705525389</v>
      </c>
      <c r="AB47" s="120">
        <v>9.7476000000000003</v>
      </c>
      <c r="AC47" s="30">
        <v>5.1660000000000004</v>
      </c>
      <c r="AD47" s="30">
        <v>42.939663217565659</v>
      </c>
      <c r="AE47" s="30">
        <v>4.7365484359250889</v>
      </c>
      <c r="AF47" s="39">
        <v>-2.4264034379126782</v>
      </c>
    </row>
    <row r="48">
      <c r="A48" s="42" t="s">
        <v>138</v>
      </c>
      <c r="B48" s="43">
        <v>1</v>
      </c>
      <c r="C48" s="149">
        <v>8.0800000000000001</v>
      </c>
      <c r="D48" s="30">
        <v>0.77609463810528601</v>
      </c>
      <c r="E48" s="30">
        <v>0.53320408049373924</v>
      </c>
      <c r="F48" s="30">
        <v>0.81163073559238375</v>
      </c>
      <c r="G48" s="30">
        <v>0.81205635547383037</v>
      </c>
      <c r="H48" s="97">
        <v>2.3983999999999996</v>
      </c>
      <c r="I48" s="30">
        <v>1.1223999999999998</v>
      </c>
      <c r="J48" s="30">
        <v>9.7424101069709437</v>
      </c>
      <c r="K48" s="30">
        <v>4.0952811075809183</v>
      </c>
      <c r="L48" s="30">
        <v>-2.3379612901973368</v>
      </c>
      <c r="M48" s="120">
        <v>3.7152000000000007</v>
      </c>
      <c r="N48" s="30">
        <v>1.6175999999999999</v>
      </c>
      <c r="O48" s="30">
        <v>19.122330807008069</v>
      </c>
      <c r="P48" s="30">
        <v>5.2001845184683955</v>
      </c>
      <c r="Q48" s="39">
        <v>-2.5229695875484439</v>
      </c>
      <c r="R48" s="120">
        <v>5.0925000000000002</v>
      </c>
      <c r="S48" s="30">
        <v>2.4255000000000004</v>
      </c>
      <c r="T48" s="30">
        <v>28.844762639001011</v>
      </c>
      <c r="U48" s="30">
        <v>5.6730899714974292</v>
      </c>
      <c r="V48" s="39">
        <v>-2.3168269813274804</v>
      </c>
      <c r="W48" s="30">
        <v>5.5619999999999994</v>
      </c>
      <c r="X48" s="30">
        <v>2.2704</v>
      </c>
      <c r="Y48" s="30">
        <v>38.107866669278522</v>
      </c>
      <c r="Z48" s="30">
        <v>7.0854610262862661</v>
      </c>
      <c r="AA48" s="39">
        <v>-2.3275207426656737</v>
      </c>
      <c r="AB48" s="120">
        <v>5.7359999999999998</v>
      </c>
      <c r="AC48" s="30">
        <v>2.9927999999999999</v>
      </c>
      <c r="AD48" s="30">
        <v>46.820117696836363</v>
      </c>
      <c r="AE48" s="30">
        <v>8.2198616904632029</v>
      </c>
      <c r="AF48" s="39">
        <v>-2.415771962690441</v>
      </c>
    </row>
    <row r="49">
      <c r="A49" s="42" t="s">
        <v>138</v>
      </c>
      <c r="B49" s="123">
        <v>2</v>
      </c>
      <c r="C49" s="146">
        <v>8.0899999999999999</v>
      </c>
      <c r="D49" s="30">
        <v>1.2797677949892767</v>
      </c>
      <c r="E49" s="30">
        <v>0.3969504207230638</v>
      </c>
      <c r="F49" s="30">
        <v>0.40370635376000219</v>
      </c>
      <c r="G49" s="30">
        <v>0.4041731099088342</v>
      </c>
      <c r="H49" s="97">
        <v>3.3280000000000003</v>
      </c>
      <c r="I49" s="30">
        <v>1.6992</v>
      </c>
      <c r="J49" s="30">
        <v>9.0729172322851497</v>
      </c>
      <c r="K49" s="30">
        <v>2.8421796517870388</v>
      </c>
      <c r="L49" s="30">
        <v>-2.5586645227152172</v>
      </c>
      <c r="M49" s="120">
        <v>4.3892000000000007</v>
      </c>
      <c r="N49" s="30">
        <v>2.0748000000000002</v>
      </c>
      <c r="O49" s="30">
        <v>19.956516852428827</v>
      </c>
      <c r="P49" s="30">
        <v>4.9778246828075456</v>
      </c>
      <c r="Q49" s="39">
        <v>-2.6852198551371544</v>
      </c>
      <c r="R49" s="120">
        <v>4.4988000000000001</v>
      </c>
      <c r="S49" s="30">
        <v>2.1984000000000004</v>
      </c>
      <c r="T49" s="30">
        <v>28.652358338991082</v>
      </c>
      <c r="U49" s="30">
        <v>6.6311220834391609</v>
      </c>
      <c r="V49" s="39">
        <v>-2.4669906367195487</v>
      </c>
      <c r="W49" s="30">
        <v>4.4903999999999993</v>
      </c>
      <c r="X49" s="30">
        <v>2.028</v>
      </c>
      <c r="Y49" s="30">
        <v>38.908137516876721</v>
      </c>
      <c r="Z49" s="30">
        <v>8.796693395276133</v>
      </c>
      <c r="AA49" s="39">
        <v>-2.4759811704581844</v>
      </c>
      <c r="AB49" s="120">
        <v>6.8568000000000016</v>
      </c>
      <c r="AC49" s="30">
        <v>3.3312000000000004</v>
      </c>
      <c r="AD49" s="30">
        <v>47.763685355755001</v>
      </c>
      <c r="AE49" s="30">
        <v>7.1378174839362147</v>
      </c>
      <c r="AF49" s="39">
        <v>-2.4622781313782163</v>
      </c>
    </row>
    <row r="50">
      <c r="A50" s="43" t="s">
        <v>139</v>
      </c>
      <c r="B50" s="43">
        <v>1</v>
      </c>
      <c r="C50" s="149">
        <v>8.0999999999999996</v>
      </c>
      <c r="D50" s="30">
        <v>2.4105822070160916</v>
      </c>
      <c r="E50" s="30">
        <v>0.29368669669625974</v>
      </c>
      <c r="F50" s="30">
        <v>0.34685836556691196</v>
      </c>
      <c r="G50" s="30">
        <v>0.3476961760579067</v>
      </c>
      <c r="H50" s="97">
        <v>5.0400000000000009</v>
      </c>
      <c r="I50" s="30">
        <v>2.2511999999999999</v>
      </c>
      <c r="J50" s="30">
        <v>7.7013680045009192</v>
      </c>
      <c r="K50" s="30">
        <v>1.6815946216293878</v>
      </c>
      <c r="L50" s="30">
        <v>-2.5221231963629824</v>
      </c>
      <c r="M50" s="120">
        <v>5.4208000000000007</v>
      </c>
      <c r="N50" s="30">
        <v>2.4455999999999998</v>
      </c>
      <c r="O50" s="30">
        <v>17.52721950866021</v>
      </c>
      <c r="P50" s="30">
        <v>3.3468079872502896</v>
      </c>
      <c r="Q50" s="39">
        <v>-2.4179194080758273</v>
      </c>
      <c r="R50" s="120">
        <v>5.3280000000000003</v>
      </c>
      <c r="S50" s="30">
        <v>2.2931999999999997</v>
      </c>
      <c r="T50" s="30">
        <v>26.004673068801793</v>
      </c>
      <c r="U50" s="30">
        <v>4.9359280704877646</v>
      </c>
      <c r="V50" s="39">
        <v>-2.4167250260403357</v>
      </c>
      <c r="W50" s="30">
        <v>6.3420000000000005</v>
      </c>
      <c r="X50" s="30">
        <v>2.9016000000000006</v>
      </c>
      <c r="Y50" s="30">
        <v>34.964797836670975</v>
      </c>
      <c r="Z50" s="30">
        <v>5.5902543939033373</v>
      </c>
      <c r="AA50" s="39">
        <v>-2.5623687089176501</v>
      </c>
      <c r="AB50" s="120">
        <v>8.3255999999999997</v>
      </c>
      <c r="AC50" s="30">
        <v>3.8652000000000006</v>
      </c>
      <c r="AD50" s="30">
        <v>43.826567912272026</v>
      </c>
      <c r="AE50" s="30">
        <v>5.3979630610080287</v>
      </c>
      <c r="AF50" s="39">
        <v>-2.4022401182377151</v>
      </c>
    </row>
    <row r="51">
      <c r="A51" s="52" t="s">
        <v>138</v>
      </c>
      <c r="B51" s="43">
        <v>1</v>
      </c>
      <c r="C51" s="152">
        <v>9</v>
      </c>
      <c r="D51" s="30">
        <v>3.511230750836531</v>
      </c>
      <c r="E51" s="30">
        <v>-0.035686647291021251</v>
      </c>
      <c r="F51" s="30">
        <v>0.0027162442191382974</v>
      </c>
      <c r="G51" s="30">
        <v>0.0027485651936920699</v>
      </c>
      <c r="H51" s="97">
        <v>1.4220000000000002</v>
      </c>
      <c r="I51" s="30">
        <v>0.61799999999999999</v>
      </c>
      <c r="J51" s="30">
        <v>9.4367285041957203</v>
      </c>
      <c r="K51" s="30">
        <v>6.636236641487848</v>
      </c>
      <c r="L51" s="30">
        <v>-2.0774818335622594</v>
      </c>
      <c r="M51" s="120">
        <v>4.2285000000000004</v>
      </c>
      <c r="N51" s="30">
        <v>1.9155000000000002</v>
      </c>
      <c r="O51" s="30">
        <v>19.60421765488865</v>
      </c>
      <c r="P51" s="30">
        <v>4.6446546019550894</v>
      </c>
      <c r="Q51" s="39">
        <v>-2.3208682016950672</v>
      </c>
      <c r="R51" s="120">
        <v>3.3479999999999999</v>
      </c>
      <c r="S51" s="30">
        <v>1.536</v>
      </c>
      <c r="T51" s="30">
        <v>29.31685538217009</v>
      </c>
      <c r="U51" s="30">
        <v>8.833669388735828</v>
      </c>
      <c r="V51" s="39">
        <v>-2.1479021081001477</v>
      </c>
      <c r="W51" s="30">
        <v>2.1254999999999997</v>
      </c>
      <c r="X51" s="30">
        <v>0.89400000000000002</v>
      </c>
      <c r="Y51" s="30">
        <v>36.929520888091844</v>
      </c>
      <c r="Z51" s="30">
        <v>17.415067501515697</v>
      </c>
      <c r="AA51" s="39">
        <v>-2.1130966893033913</v>
      </c>
      <c r="AB51" s="120">
        <v>3.9660000000000002</v>
      </c>
      <c r="AC51" s="30">
        <v>1.8300000000000001</v>
      </c>
      <c r="AD51" s="30">
        <v>48.459357690067861</v>
      </c>
      <c r="AE51" s="30">
        <v>12.218698358564765</v>
      </c>
      <c r="AF51" s="39">
        <v>-2.0996250285623725</v>
      </c>
    </row>
    <row r="52">
      <c r="A52" s="52" t="s">
        <v>138</v>
      </c>
      <c r="B52" s="43">
        <v>2</v>
      </c>
      <c r="C52" s="152">
        <v>9</v>
      </c>
      <c r="D52" s="30">
        <v>2.1005851452836475</v>
      </c>
      <c r="E52" s="30">
        <v>0.12434061894532401</v>
      </c>
      <c r="F52" s="30">
        <v>0.037102094406457065</v>
      </c>
      <c r="G52" s="30">
        <v>0.037102118291200109</v>
      </c>
      <c r="H52" s="97">
        <v>2.6880000000000002</v>
      </c>
      <c r="I52" s="30">
        <v>1.4299999999999999</v>
      </c>
      <c r="J52" s="30">
        <v>10.188136392560454</v>
      </c>
      <c r="K52" s="30">
        <v>3.8919235482973611</v>
      </c>
      <c r="L52" s="30">
        <v>-2.4025600815839465</v>
      </c>
      <c r="M52" s="120">
        <v>3.2055000000000002</v>
      </c>
      <c r="N52" s="30">
        <v>1.6890000000000001</v>
      </c>
      <c r="O52" s="30">
        <v>19.763769461996162</v>
      </c>
      <c r="P52" s="30">
        <v>6.2149495308823361</v>
      </c>
      <c r="Q52" s="39">
        <v>-2.1609823760122793</v>
      </c>
      <c r="R52" s="120">
        <v>3.4091999999999998</v>
      </c>
      <c r="S52" s="30">
        <v>1.6632000000000002</v>
      </c>
      <c r="T52" s="30">
        <v>28.366413269589987</v>
      </c>
      <c r="U52" s="30">
        <v>8.9496041468360836</v>
      </c>
      <c r="V52" s="39">
        <v>-2.4746079756234214</v>
      </c>
      <c r="W52" s="30">
        <v>2.9055000000000004</v>
      </c>
      <c r="X52" s="30">
        <v>1.3215000000000003</v>
      </c>
      <c r="Y52" s="30">
        <v>38.844945208656853</v>
      </c>
      <c r="Z52" s="30">
        <v>15.30447256057246</v>
      </c>
      <c r="AA52" s="39">
        <v>-2.1212750599272638</v>
      </c>
      <c r="AB52" s="120">
        <v>3.456</v>
      </c>
      <c r="AC52" s="30">
        <v>1.6160000000000003</v>
      </c>
      <c r="AD52" s="30">
        <v>47.101798815476691</v>
      </c>
      <c r="AE52" s="30">
        <v>16.14251282169252</v>
      </c>
      <c r="AF52" s="39">
        <v>-2.1544278381153532</v>
      </c>
    </row>
    <row r="53">
      <c r="A53" s="42" t="s">
        <v>139</v>
      </c>
      <c r="B53" s="43">
        <v>1</v>
      </c>
      <c r="C53" s="98">
        <v>9</v>
      </c>
      <c r="D53" s="30">
        <v>2.6129123321957768</v>
      </c>
      <c r="E53" s="30">
        <v>0.034820170342188969</v>
      </c>
      <c r="F53" s="30">
        <v>0.00016865442557689736</v>
      </c>
      <c r="G53" s="30">
        <v>0.00017104956783617597</v>
      </c>
      <c r="H53" s="97">
        <v>5.8544</v>
      </c>
      <c r="I53" s="30">
        <v>2.532</v>
      </c>
      <c r="J53" s="30">
        <v>13.040732003104941</v>
      </c>
      <c r="K53" s="30">
        <v>8.5005655792948964</v>
      </c>
      <c r="L53" s="30">
        <v>-3.2174689510055146</v>
      </c>
      <c r="M53" s="120">
        <v>2.8896000000000002</v>
      </c>
      <c r="N53" s="30">
        <v>1.6559999999999999</v>
      </c>
      <c r="O53" s="30">
        <v>18.517183267962363</v>
      </c>
      <c r="P53" s="30">
        <v>9.2558202053219407</v>
      </c>
      <c r="Q53" s="39">
        <v>-2.6716720458920458</v>
      </c>
      <c r="R53" s="120">
        <v>1.2347999999999999</v>
      </c>
      <c r="S53" s="30">
        <v>0.66360000000000008</v>
      </c>
      <c r="T53" s="30">
        <v>26.39657345036418</v>
      </c>
      <c r="U53" s="30">
        <v>21.472726947605487</v>
      </c>
      <c r="V53" s="39">
        <v>-1.9407784135953918</v>
      </c>
      <c r="W53" s="30">
        <v>2.3820000000000001</v>
      </c>
      <c r="X53" s="30">
        <v>1.5329999999999999</v>
      </c>
      <c r="Y53" s="30">
        <v>35.68084726295691</v>
      </c>
      <c r="Z53" s="30">
        <v>20.707003533544523</v>
      </c>
      <c r="AA53" s="39">
        <v>-2.077075486552991</v>
      </c>
      <c r="AB53" s="120">
        <v>2.1335999999999999</v>
      </c>
      <c r="AC53" s="30">
        <v>1.3104</v>
      </c>
      <c r="AD53" s="30">
        <v>43.91196486801725</v>
      </c>
      <c r="AE53" s="30">
        <v>23.101220798653561</v>
      </c>
      <c r="AF53" s="39">
        <v>-2.0933994286463835</v>
      </c>
    </row>
    <row r="54">
      <c r="A54" s="42" t="s">
        <v>138</v>
      </c>
      <c r="B54" s="43">
        <v>2</v>
      </c>
      <c r="C54" s="149">
        <v>9</v>
      </c>
      <c r="D54" s="30">
        <v>0.88610631068731271</v>
      </c>
      <c r="E54" s="30">
        <v>0.28408894776850119</v>
      </c>
      <c r="F54" s="30">
        <v>0.50944104234829157</v>
      </c>
      <c r="G54" s="30">
        <v>0.50972511859761516</v>
      </c>
      <c r="H54" s="97">
        <v>1.5780000000000001</v>
      </c>
      <c r="I54" s="30">
        <v>0.72599999999999998</v>
      </c>
      <c r="J54" s="30">
        <v>10.631447688556563</v>
      </c>
      <c r="K54" s="30">
        <v>6.7880243331970433</v>
      </c>
      <c r="L54" s="30">
        <v>-2.1619233458288107</v>
      </c>
      <c r="M54" s="120">
        <v>2.476</v>
      </c>
      <c r="N54" s="30">
        <v>1.1980000000000002</v>
      </c>
      <c r="O54" s="30">
        <v>20.431070434346406</v>
      </c>
      <c r="P54" s="30">
        <v>8.28605562469434</v>
      </c>
      <c r="Q54" s="39">
        <v>-1.9449934162829023</v>
      </c>
      <c r="R54" s="120">
        <v>2.1750000000000003</v>
      </c>
      <c r="S54" s="30">
        <v>1.0380000000000003</v>
      </c>
      <c r="T54" s="30">
        <v>28.81118499113834</v>
      </c>
      <c r="U54" s="30">
        <v>13.478359526983587</v>
      </c>
      <c r="V54" s="39">
        <v>-2.0979184468202789</v>
      </c>
      <c r="W54" s="30">
        <v>2.6496</v>
      </c>
      <c r="X54" s="30">
        <v>1.3211999999999999</v>
      </c>
      <c r="Y54" s="30">
        <v>36.68141039778213</v>
      </c>
      <c r="Z54" s="30">
        <v>14.169881095742834</v>
      </c>
      <c r="AA54" s="39">
        <v>-2.1119286886457633</v>
      </c>
      <c r="AB54" s="120">
        <v>2.4767999999999999</v>
      </c>
      <c r="AC54" s="30">
        <v>1.2167999999999999</v>
      </c>
      <c r="AD54" s="30">
        <v>46.789554339062988</v>
      </c>
      <c r="AE54" s="30">
        <v>18.999039700299608</v>
      </c>
      <c r="AF54" s="39">
        <v>-2.131405183530533</v>
      </c>
    </row>
    <row r="55">
      <c r="A55" s="42" t="s">
        <v>138</v>
      </c>
      <c r="B55" s="121">
        <v>1</v>
      </c>
      <c r="C55" s="146">
        <v>9</v>
      </c>
      <c r="D55" s="30">
        <v>0.44248968751796186</v>
      </c>
      <c r="E55" s="30">
        <v>0.33786011329588239</v>
      </c>
      <c r="F55" s="30">
        <v>0.64453158742837613</v>
      </c>
      <c r="G55" s="30">
        <v>0.64469365133425838</v>
      </c>
      <c r="H55" s="97">
        <v>0.89599999999999991</v>
      </c>
      <c r="I55" s="30">
        <v>0.54200000000000004</v>
      </c>
      <c r="J55" s="30">
        <v>9.1589588691784947</v>
      </c>
      <c r="K55" s="30">
        <v>10.234009973732455</v>
      </c>
      <c r="L55" s="30">
        <v>-2.0661779926509944</v>
      </c>
      <c r="M55" s="120">
        <v>1.1824000000000001</v>
      </c>
      <c r="N55" s="30">
        <v>0.58200000000000007</v>
      </c>
      <c r="O55" s="30">
        <v>19.044865858309493</v>
      </c>
      <c r="P55" s="30">
        <v>16.312877269894564</v>
      </c>
      <c r="Q55" s="39">
        <v>-2.1714004121509425</v>
      </c>
      <c r="R55" s="120">
        <v>1.4688000000000003</v>
      </c>
      <c r="S55" s="30">
        <v>0.75</v>
      </c>
      <c r="T55" s="30">
        <v>31.273109091989802</v>
      </c>
      <c r="U55" s="30">
        <v>21.345441934721066</v>
      </c>
      <c r="V55" s="39">
        <v>-2.0905311289763326</v>
      </c>
      <c r="W55" s="30">
        <v>1.6524000000000001</v>
      </c>
      <c r="X55" s="30">
        <v>0.80280000000000007</v>
      </c>
      <c r="Y55" s="30">
        <v>37.614815529637575</v>
      </c>
      <c r="Z55" s="30">
        <v>22.84834474485594</v>
      </c>
      <c r="AA55" s="39">
        <v>-2.0683992319128235</v>
      </c>
      <c r="AB55" s="120">
        <v>1.4568000000000001</v>
      </c>
      <c r="AC55" s="30">
        <v>0.71640000000000004</v>
      </c>
      <c r="AD55" s="30">
        <v>46.185419946523929</v>
      </c>
      <c r="AE55" s="30">
        <v>32.411523707335206</v>
      </c>
      <c r="AF55" s="39">
        <v>-1.9986761765904748</v>
      </c>
    </row>
    <row r="56">
      <c r="A56" s="43" t="s">
        <v>139</v>
      </c>
      <c r="B56" s="43">
        <v>1</v>
      </c>
      <c r="C56" s="149">
        <v>9.0099999999999998</v>
      </c>
      <c r="D56" s="30">
        <v>4.1290889006972868</v>
      </c>
      <c r="E56" s="30">
        <v>0.26386577649619702</v>
      </c>
      <c r="F56" s="30">
        <v>0.46800925367421431</v>
      </c>
      <c r="G56" s="30">
        <v>0.46840487060358416</v>
      </c>
      <c r="H56" s="97">
        <v>6.6671999999999993</v>
      </c>
      <c r="I56" s="30">
        <v>3.1648000000000005</v>
      </c>
      <c r="J56" s="30">
        <v>9.9060369874694736</v>
      </c>
      <c r="K56" s="30">
        <v>1.5313699211722986</v>
      </c>
      <c r="L56" s="30">
        <v>-2.4794247507400535</v>
      </c>
      <c r="M56" s="120">
        <v>10.694400000000002</v>
      </c>
      <c r="N56" s="30">
        <v>5.8715999999999999</v>
      </c>
      <c r="O56" s="30">
        <v>20.035453505673413</v>
      </c>
      <c r="P56" s="30">
        <v>1.8878846949734338</v>
      </c>
      <c r="Q56" s="39">
        <v>-2.5416272295885727</v>
      </c>
      <c r="R56" s="120">
        <v>9.5436000000000014</v>
      </c>
      <c r="S56" s="30">
        <v>4.628400000000001</v>
      </c>
      <c r="T56" s="30">
        <v>28.053894350869506</v>
      </c>
      <c r="U56" s="30">
        <v>2.9554317172830507</v>
      </c>
      <c r="V56" s="39">
        <v>-2.9029893456000884</v>
      </c>
      <c r="W56" s="30">
        <v>10.879200000000001</v>
      </c>
      <c r="X56" s="30">
        <v>5.9123999999999999</v>
      </c>
      <c r="Y56" s="30">
        <v>36.927568159881389</v>
      </c>
      <c r="Z56" s="30">
        <v>3.4646645644554219</v>
      </c>
      <c r="AA56" s="39">
        <v>-2.6151571360942194</v>
      </c>
      <c r="AB56" s="120">
        <v>10.822500000000002</v>
      </c>
      <c r="AC56" s="30">
        <v>5.0220000000000002</v>
      </c>
      <c r="AD56" s="30">
        <v>47.894465969523523</v>
      </c>
      <c r="AE56" s="30">
        <v>4.4667455087360768</v>
      </c>
      <c r="AF56" s="39">
        <v>-2.1927846254662264</v>
      </c>
    </row>
    <row r="57">
      <c r="A57" s="62" t="s">
        <v>138</v>
      </c>
      <c r="B57" s="62">
        <v>2</v>
      </c>
      <c r="C57" s="153">
        <v>9.0099999999999998</v>
      </c>
      <c r="D57" s="30">
        <v>1.3739271778632007</v>
      </c>
      <c r="E57" s="30">
        <v>0.48880750744353907</v>
      </c>
      <c r="F57" s="30">
        <v>0.84824406644191785</v>
      </c>
      <c r="G57" s="30">
        <v>0.84827589805675385</v>
      </c>
      <c r="H57" s="97">
        <v>4.3032000000000004</v>
      </c>
      <c r="I57" s="30">
        <v>2.0920000000000001</v>
      </c>
      <c r="J57" s="30">
        <v>10.220277941645753</v>
      </c>
      <c r="K57" s="30">
        <v>2.4041859147527767</v>
      </c>
      <c r="L57" s="30">
        <v>-2.5100077538992336</v>
      </c>
      <c r="M57" s="120">
        <v>6.0695999999999994</v>
      </c>
      <c r="N57" s="30">
        <v>2.8392000000000004</v>
      </c>
      <c r="O57" s="30">
        <v>19.893371541666827</v>
      </c>
      <c r="P57" s="30">
        <v>3.3713798993655786</v>
      </c>
      <c r="Q57" s="39">
        <v>-2.5414390835271496</v>
      </c>
      <c r="R57" s="120">
        <v>7.030800000000001</v>
      </c>
      <c r="S57" s="30">
        <v>3.2831999999999999</v>
      </c>
      <c r="T57" s="30">
        <v>29.171860861126099</v>
      </c>
      <c r="U57" s="30">
        <v>4.1567155217952694</v>
      </c>
      <c r="V57" s="39">
        <v>-2.4377842980170223</v>
      </c>
      <c r="W57" s="30">
        <v>7.9104000000000001</v>
      </c>
      <c r="X57" s="30">
        <v>3.6888000000000005</v>
      </c>
      <c r="Y57" s="30">
        <v>38.810951934008827</v>
      </c>
      <c r="Z57" s="30">
        <v>4.9223168947055438</v>
      </c>
      <c r="AA57" s="39">
        <v>-2.4234642866510332</v>
      </c>
      <c r="AB57" s="120">
        <v>9.3924000000000003</v>
      </c>
      <c r="AC57" s="30">
        <v>4.6788000000000007</v>
      </c>
      <c r="AD57" s="30">
        <v>48.130609266911151</v>
      </c>
      <c r="AE57" s="30">
        <v>5.1618760168523137</v>
      </c>
      <c r="AF57" s="39">
        <v>-2.4189538636908297</v>
      </c>
    </row>
    <row r="58">
      <c r="A58" s="42" t="s">
        <v>138</v>
      </c>
      <c r="B58" s="43">
        <v>1</v>
      </c>
      <c r="C58" s="149">
        <v>9.0099999999999998</v>
      </c>
      <c r="D58" s="30">
        <v>2.754768855658432</v>
      </c>
      <c r="E58" s="30">
        <v>0.20326123716637115</v>
      </c>
      <c r="F58" s="30">
        <v>0.10757767530179796</v>
      </c>
      <c r="G58" s="30">
        <v>0.10761015745233729</v>
      </c>
      <c r="H58" s="97">
        <v>4.3308</v>
      </c>
      <c r="I58" s="30">
        <v>1.8744000000000001</v>
      </c>
      <c r="J58" s="30">
        <v>10.237641707613893</v>
      </c>
      <c r="K58" s="30">
        <v>2.4958559139605496</v>
      </c>
      <c r="L58" s="30">
        <v>-2.4596918501145963</v>
      </c>
      <c r="M58" s="120">
        <v>6.402000000000001</v>
      </c>
      <c r="N58" s="30">
        <v>2.7072000000000003</v>
      </c>
      <c r="O58" s="30">
        <v>19.956013756237176</v>
      </c>
      <c r="P58" s="30">
        <v>3.2046706427819429</v>
      </c>
      <c r="Q58" s="39">
        <v>-2.8397364356154475</v>
      </c>
      <c r="R58" s="120">
        <v>3.0300000000000002</v>
      </c>
      <c r="S58" s="30">
        <v>1.4328000000000001</v>
      </c>
      <c r="T58" s="30">
        <v>28.861525627465063</v>
      </c>
      <c r="U58" s="30">
        <v>9.70730427209784</v>
      </c>
      <c r="V58" s="39">
        <v>-2.1457088871444321</v>
      </c>
      <c r="W58" s="30">
        <v>6.7679999999999989</v>
      </c>
      <c r="X58" s="30">
        <v>2.7792000000000003</v>
      </c>
      <c r="Y58" s="30">
        <v>38.058957539456273</v>
      </c>
      <c r="Z58" s="30">
        <v>5.8449555402224513</v>
      </c>
      <c r="AA58" s="39">
        <v>-2.4513811980516196</v>
      </c>
      <c r="AB58" s="120">
        <v>6.2460000000000004</v>
      </c>
      <c r="AC58" s="30">
        <v>2.6003999999999996</v>
      </c>
      <c r="AD58" s="30">
        <v>48.425132702397853</v>
      </c>
      <c r="AE58" s="30">
        <v>7.8218660613915159</v>
      </c>
      <c r="AF58" s="39">
        <v>-2.3695407329716303</v>
      </c>
    </row>
    <row r="59">
      <c r="A59" s="42" t="s">
        <v>139</v>
      </c>
      <c r="B59" s="43">
        <v>2</v>
      </c>
      <c r="C59" s="98">
        <v>9.0199999999999996</v>
      </c>
      <c r="D59" s="30">
        <v>0.30941582579373367</v>
      </c>
      <c r="E59" s="30">
        <v>0.86053056871447653</v>
      </c>
      <c r="F59" s="30">
        <v>0.40223163073121682</v>
      </c>
      <c r="G59" s="30">
        <v>0.40518310314089107</v>
      </c>
      <c r="H59" s="97">
        <v>2.6368</v>
      </c>
      <c r="I59" s="30">
        <v>1.3336000000000001</v>
      </c>
      <c r="J59" s="30">
        <v>9.4706661627619155</v>
      </c>
      <c r="K59" s="30">
        <v>3.6276282183502375</v>
      </c>
      <c r="L59" s="30">
        <v>-2.3379292570861026</v>
      </c>
      <c r="M59" s="120">
        <v>5.7935999999999996</v>
      </c>
      <c r="N59" s="30">
        <v>2.7564000000000002</v>
      </c>
      <c r="O59" s="30">
        <v>19.678006276734216</v>
      </c>
      <c r="P59" s="30">
        <v>3.4321201390659652</v>
      </c>
      <c r="Q59" s="39">
        <v>-2.4327287521699419</v>
      </c>
      <c r="R59" s="120">
        <v>3.6936</v>
      </c>
      <c r="S59" s="30">
        <v>1.8431999999999999</v>
      </c>
      <c r="T59" s="30">
        <v>28.424316937423633</v>
      </c>
      <c r="U59" s="30">
        <v>7.765532744428552</v>
      </c>
      <c r="V59" s="39">
        <v>-2.3935209435671929</v>
      </c>
      <c r="W59" s="30">
        <v>5.0448000000000004</v>
      </c>
      <c r="X59" s="30">
        <v>2.5236000000000001</v>
      </c>
      <c r="Y59" s="30">
        <v>38.451133173826449</v>
      </c>
      <c r="Z59" s="30">
        <v>7.6499957315352249</v>
      </c>
      <c r="AA59" s="39">
        <v>-2.2652323246220218</v>
      </c>
      <c r="AB59" s="120">
        <v>10.7052</v>
      </c>
      <c r="AC59" s="30">
        <v>4.8864000000000001</v>
      </c>
      <c r="AD59" s="30">
        <v>48.270716431733753</v>
      </c>
      <c r="AE59" s="30">
        <v>5.2047970453679024</v>
      </c>
      <c r="AF59" s="39">
        <v>-2.4698771045150996</v>
      </c>
    </row>
    <row r="60">
      <c r="A60" s="42" t="s">
        <v>138</v>
      </c>
      <c r="B60" s="43">
        <v>1</v>
      </c>
      <c r="C60" s="149">
        <v>9.0199999999999996</v>
      </c>
      <c r="D60" s="30">
        <v>1.7735749953712201</v>
      </c>
      <c r="E60" s="30">
        <v>0.43754324666919842</v>
      </c>
      <c r="F60" s="30">
        <v>0.51737563040934864</v>
      </c>
      <c r="G60" s="30">
        <v>0.51758050833257874</v>
      </c>
      <c r="H60" s="97">
        <v>5.3232000000000008</v>
      </c>
      <c r="I60" s="30">
        <v>2.4176000000000002</v>
      </c>
      <c r="J60" s="30">
        <v>10.303641104324489</v>
      </c>
      <c r="K60" s="30">
        <v>1.983533927549944</v>
      </c>
      <c r="L60" s="30">
        <v>-2.4855448214112372</v>
      </c>
      <c r="M60" s="120">
        <v>6.1236000000000006</v>
      </c>
      <c r="N60" s="30">
        <v>2.6819999999999999</v>
      </c>
      <c r="O60" s="30">
        <v>19.705190217819485</v>
      </c>
      <c r="P60" s="30">
        <v>3.3654910289236235</v>
      </c>
      <c r="Q60" s="39">
        <v>-2.5348435044370832</v>
      </c>
      <c r="R60" s="120">
        <v>7.8444000000000003</v>
      </c>
      <c r="S60" s="30">
        <v>3.3624000000000001</v>
      </c>
      <c r="T60" s="30">
        <v>29.490991236838102</v>
      </c>
      <c r="U60" s="30">
        <v>3.8081035971728645</v>
      </c>
      <c r="V60" s="39">
        <v>-2.4885443642028786</v>
      </c>
      <c r="W60" s="30">
        <v>8.4372000000000007</v>
      </c>
      <c r="X60" s="30">
        <v>3.8544000000000005</v>
      </c>
      <c r="Y60" s="30">
        <v>38.571135156361393</v>
      </c>
      <c r="Z60" s="30">
        <v>4.7981375544965861</v>
      </c>
      <c r="AA60" s="39">
        <v>-2.500138582822665</v>
      </c>
      <c r="AB60" s="120">
        <v>9.9792000000000005</v>
      </c>
      <c r="AC60" s="30">
        <v>4.2096</v>
      </c>
      <c r="AD60" s="30">
        <v>48.046877818235551</v>
      </c>
      <c r="AE60" s="30">
        <v>5.0555148881094265</v>
      </c>
      <c r="AF60" s="39">
        <v>-2.8029766305739088</v>
      </c>
    </row>
    <row r="61">
      <c r="A61" s="42" t="s">
        <v>138</v>
      </c>
      <c r="B61" s="43">
        <v>1</v>
      </c>
      <c r="C61" s="126">
        <v>9.0299999999999994</v>
      </c>
      <c r="D61" s="30">
        <v>0.38693666453231224</v>
      </c>
      <c r="E61" s="30">
        <v>0.50253905143152522</v>
      </c>
      <c r="F61" s="30">
        <v>0.68750680319576751</v>
      </c>
      <c r="G61" s="30">
        <v>0.68794269612842718</v>
      </c>
      <c r="H61" s="97">
        <v>1.0649999999999999</v>
      </c>
      <c r="I61" s="30">
        <v>0.45450000000000002</v>
      </c>
      <c r="J61" s="30">
        <v>9.2697963015665295</v>
      </c>
      <c r="K61" s="30">
        <v>9.0116904549252119</v>
      </c>
      <c r="L61" s="30">
        <v>-2.0816600076054557</v>
      </c>
      <c r="M61" s="120">
        <v>1.6188000000000002</v>
      </c>
      <c r="N61" s="30">
        <v>0.75119999999999998</v>
      </c>
      <c r="O61" s="30">
        <v>18.396645827193755</v>
      </c>
      <c r="P61" s="30">
        <v>11.520050071050933</v>
      </c>
      <c r="Q61" s="39">
        <v>-2.2399358478108122</v>
      </c>
      <c r="R61" s="120">
        <v>2.2343999999999999</v>
      </c>
      <c r="S61" s="30">
        <v>1.1352</v>
      </c>
      <c r="T61" s="30">
        <v>27.83183379451264</v>
      </c>
      <c r="U61" s="30">
        <v>12.654880912850063</v>
      </c>
      <c r="V61" s="39">
        <v>-2.1928685866666364</v>
      </c>
      <c r="W61" s="30">
        <v>2.556</v>
      </c>
      <c r="X61" s="30">
        <v>1.2624</v>
      </c>
      <c r="Y61" s="30">
        <v>38.287751689241084</v>
      </c>
      <c r="Z61" s="30">
        <v>15.516947360446142</v>
      </c>
      <c r="AA61" s="39">
        <v>-2.361589010970734</v>
      </c>
      <c r="AB61" s="120">
        <v>2.4852000000000003</v>
      </c>
      <c r="AC61" s="30">
        <v>1.2467999999999999</v>
      </c>
      <c r="AD61" s="30">
        <v>46.701231724345881</v>
      </c>
      <c r="AE61" s="30">
        <v>19.01721574948774</v>
      </c>
      <c r="AF61" s="39">
        <v>-2.2401305839797043</v>
      </c>
    </row>
    <row r="62">
      <c r="A62" s="43" t="s">
        <v>139</v>
      </c>
      <c r="B62" s="43">
        <v>1</v>
      </c>
      <c r="C62" s="126">
        <v>9.0399999999999991</v>
      </c>
      <c r="D62" s="30">
        <v>3.0356332089274951</v>
      </c>
      <c r="E62" s="30">
        <v>0.28546073794813165</v>
      </c>
      <c r="F62" s="30">
        <v>0.30039776910163329</v>
      </c>
      <c r="G62" s="30">
        <v>0.300666200479205</v>
      </c>
      <c r="H62" s="97">
        <v>5.8479999999999999</v>
      </c>
      <c r="I62" s="30">
        <v>3.1776</v>
      </c>
      <c r="J62" s="30">
        <v>10.331347835089803</v>
      </c>
      <c r="K62" s="30">
        <v>1.7947523576835476</v>
      </c>
      <c r="L62" s="30">
        <v>-3.4496011662845696</v>
      </c>
      <c r="M62" s="120">
        <v>8.0608000000000004</v>
      </c>
      <c r="N62" s="30">
        <v>3.9094000000000002</v>
      </c>
      <c r="O62" s="30">
        <v>17.125425991434799</v>
      </c>
      <c r="P62" s="30">
        <v>2.0968000336778787</v>
      </c>
      <c r="Q62" s="39">
        <v>-2.8516080733313318</v>
      </c>
      <c r="R62" s="120">
        <v>6.8688000000000002</v>
      </c>
      <c r="S62" s="30">
        <v>3.660000000000001</v>
      </c>
      <c r="T62" s="30">
        <v>29.537444135748689</v>
      </c>
      <c r="U62" s="30">
        <v>4.4287538277622449</v>
      </c>
      <c r="V62" s="39">
        <v>-3.0523213348958613</v>
      </c>
      <c r="W62" s="30">
        <v>7.7700000000000014</v>
      </c>
      <c r="X62" s="30">
        <v>3.7320000000000002</v>
      </c>
      <c r="Y62" s="30">
        <v>40.140779274747679</v>
      </c>
      <c r="Z62" s="30">
        <v>5.6501724325786586</v>
      </c>
      <c r="AA62" s="39">
        <v>-2.7534579751178496</v>
      </c>
      <c r="AB62" s="120">
        <v>10.141500000000001</v>
      </c>
      <c r="AC62" s="30">
        <v>6.0674999999999999</v>
      </c>
      <c r="AD62" s="30">
        <v>50.299569760644673</v>
      </c>
      <c r="AE62" s="30">
        <v>5.289310271642174</v>
      </c>
      <c r="AF62" s="39">
        <v>-2.5112845974800226</v>
      </c>
    </row>
    <row r="63">
      <c r="A63" s="43" t="s">
        <v>139</v>
      </c>
      <c r="B63" s="43">
        <v>1</v>
      </c>
      <c r="C63" s="126">
        <v>9.0600000000000005</v>
      </c>
      <c r="D63" s="30">
        <v>8.4738358552115152</v>
      </c>
      <c r="E63" s="30">
        <v>0.066290698199047635</v>
      </c>
      <c r="F63" s="30">
        <v>0.030815724442797898</v>
      </c>
      <c r="G63" s="30">
        <v>0.030816685964485689</v>
      </c>
      <c r="H63" s="97">
        <v>9.7647999999999993</v>
      </c>
      <c r="I63" s="30">
        <v>4.5903999999999998</v>
      </c>
      <c r="J63" s="30">
        <v>9.792614471928653</v>
      </c>
      <c r="K63" s="30">
        <v>1.0464318968467232</v>
      </c>
      <c r="L63" s="30">
        <v>-2.4961745125806667</v>
      </c>
      <c r="M63" s="120">
        <v>11.0724</v>
      </c>
      <c r="N63" s="30">
        <v>5.1852</v>
      </c>
      <c r="O63" s="30">
        <v>19.093427685424107</v>
      </c>
      <c r="P63" s="30">
        <v>1.7371085438372897</v>
      </c>
      <c r="Q63" s="39">
        <v>-2.7082777420449644</v>
      </c>
      <c r="R63" s="120">
        <v>10.162800000000001</v>
      </c>
      <c r="S63" s="30">
        <v>5.3940000000000001</v>
      </c>
      <c r="T63" s="30">
        <v>28.678265007137412</v>
      </c>
      <c r="U63" s="30">
        <v>2.9685970110585607</v>
      </c>
      <c r="V63" s="39">
        <v>-2.6932154405400173</v>
      </c>
      <c r="W63" s="30">
        <v>9.409200000000002</v>
      </c>
      <c r="X63" s="30">
        <v>4.7435999999999998</v>
      </c>
      <c r="Y63" s="30">
        <v>39.108307217131674</v>
      </c>
      <c r="Z63" s="30">
        <v>4.1968714551990809</v>
      </c>
      <c r="AA63" s="39">
        <v>-2.4920820259823868</v>
      </c>
      <c r="AB63" s="120">
        <v>12.098400000000002</v>
      </c>
      <c r="AC63" s="30">
        <v>5.5499999999999998</v>
      </c>
      <c r="AD63" s="30">
        <v>48.198638639415833</v>
      </c>
      <c r="AE63" s="30">
        <v>4.1426100686624894</v>
      </c>
      <c r="AF63" s="39">
        <v>-2.7198437578242141</v>
      </c>
    </row>
    <row r="64">
      <c r="A64" s="42" t="s">
        <v>138</v>
      </c>
      <c r="B64" s="43">
        <v>1</v>
      </c>
      <c r="C64" s="126">
        <v>9.0600000000000005</v>
      </c>
      <c r="D64" s="30">
        <v>4.2042517570933251</v>
      </c>
      <c r="E64" s="30">
        <v>0.35535063770258984</v>
      </c>
      <c r="F64" s="30">
        <v>0.27067298257735084</v>
      </c>
      <c r="G64" s="30">
        <v>0.27171775447769508</v>
      </c>
      <c r="H64" s="97">
        <v>7.5044000000000013</v>
      </c>
      <c r="I64" s="30">
        <v>3.9932000000000003</v>
      </c>
      <c r="J64" s="30">
        <v>11.701667249273315</v>
      </c>
      <c r="K64" s="30">
        <v>1.7155728303616784</v>
      </c>
      <c r="L64" s="30">
        <v>-2.5200027247043999</v>
      </c>
      <c r="M64" s="120">
        <v>13.492799999999999</v>
      </c>
      <c r="N64" s="30">
        <v>6.2916000000000007</v>
      </c>
      <c r="O64" s="30">
        <v>21.209180245637146</v>
      </c>
      <c r="P64" s="30">
        <v>1.7454973803336784</v>
      </c>
      <c r="Q64" s="39">
        <v>-2.9602206791281889</v>
      </c>
      <c r="R64" s="120">
        <v>15.886000000000001</v>
      </c>
      <c r="S64" s="30">
        <v>7.1140000000000008</v>
      </c>
      <c r="T64" s="30">
        <v>30.1558519684793</v>
      </c>
      <c r="U64" s="30">
        <v>1.9934915696102848</v>
      </c>
      <c r="V64" s="39">
        <v>-3.3425198293384693</v>
      </c>
      <c r="W64" s="30">
        <v>19.654800000000002</v>
      </c>
      <c r="X64" s="30">
        <v>9.6456</v>
      </c>
      <c r="Y64" s="30">
        <v>42.173093895685099</v>
      </c>
      <c r="Z64" s="30">
        <v>2.3426047648595691</v>
      </c>
      <c r="AA64" s="39">
        <v>-3.2078281060314544</v>
      </c>
      <c r="AB64" s="120">
        <v>13.920000000000002</v>
      </c>
      <c r="AC64" s="30">
        <v>6.6996000000000011</v>
      </c>
      <c r="AD64" s="30">
        <v>54.358768605506746</v>
      </c>
      <c r="AE64" s="30">
        <v>3.9481519564815661</v>
      </c>
      <c r="AF64" s="39">
        <v>-2.674672331141573</v>
      </c>
    </row>
    <row r="65">
      <c r="A65" s="43" t="s">
        <v>139</v>
      </c>
      <c r="B65" s="43">
        <v>1</v>
      </c>
      <c r="C65" s="126">
        <v>9.0800000000000001</v>
      </c>
      <c r="D65" s="30">
        <v>0.7558873470635189</v>
      </c>
      <c r="E65" s="30">
        <v>0.48276072666871511</v>
      </c>
      <c r="F65" s="30">
        <v>0.86839428405574415</v>
      </c>
      <c r="G65" s="30">
        <v>0.86872843603334959</v>
      </c>
      <c r="H65" s="97">
        <v>2.3872</v>
      </c>
      <c r="I65" s="30">
        <v>1.1160000000000001</v>
      </c>
      <c r="J65" s="30">
        <v>9.8124250937081534</v>
      </c>
      <c r="K65" s="30">
        <v>4.1267367685938385</v>
      </c>
      <c r="L65" s="30">
        <v>-2.2839345771293673</v>
      </c>
      <c r="M65" s="120">
        <v>3.3335999999999997</v>
      </c>
      <c r="N65" s="30">
        <v>1.4268000000000003</v>
      </c>
      <c r="O65" s="30">
        <v>19.751885574223742</v>
      </c>
      <c r="P65" s="30">
        <v>5.9644772832670307</v>
      </c>
      <c r="Q65" s="39">
        <v>-2.3368054821556203</v>
      </c>
      <c r="R65" s="120">
        <v>3.4836</v>
      </c>
      <c r="S65" s="30">
        <v>1.6572</v>
      </c>
      <c r="T65" s="30">
        <v>27.938100671779431</v>
      </c>
      <c r="U65" s="30">
        <v>8.066936025428058</v>
      </c>
      <c r="V65" s="39">
        <v>-2.3805094180722337</v>
      </c>
      <c r="W65" s="30">
        <v>4.1736000000000004</v>
      </c>
      <c r="X65" s="30">
        <v>1.8144000000000002</v>
      </c>
      <c r="Y65" s="30">
        <v>38.742408502401588</v>
      </c>
      <c r="Z65" s="30">
        <v>9.3368276390954996</v>
      </c>
      <c r="AA65" s="39">
        <v>-2.3350530065224211</v>
      </c>
      <c r="AB65" s="120">
        <v>5.1876000000000007</v>
      </c>
      <c r="AC65" s="30">
        <v>2.484</v>
      </c>
      <c r="AD65" s="30">
        <v>47.774151521431349</v>
      </c>
      <c r="AE65" s="30">
        <v>9.2336239638977595</v>
      </c>
      <c r="AF65" s="39">
        <v>-2.3167443261599168</v>
      </c>
    </row>
    <row r="66">
      <c r="A66" s="43" t="s">
        <v>139</v>
      </c>
      <c r="B66" s="43">
        <v>1</v>
      </c>
      <c r="C66" s="126">
        <v>9.0800000000000001</v>
      </c>
      <c r="D66" s="30">
        <v>2.7410258224905757</v>
      </c>
      <c r="E66" s="30">
        <v>0.07933135695767822</v>
      </c>
      <c r="F66" s="30">
        <v>0.0069705279324393521</v>
      </c>
      <c r="G66" s="30">
        <v>0.0071218269502232321</v>
      </c>
      <c r="H66" s="97">
        <v>1.9472</v>
      </c>
      <c r="I66" s="30">
        <v>0.98880000000000001</v>
      </c>
      <c r="J66" s="30">
        <v>9.3748730928625648</v>
      </c>
      <c r="K66" s="30">
        <v>5.3016790082917682</v>
      </c>
      <c r="L66" s="30">
        <v>-2.2301321882555514</v>
      </c>
      <c r="M66" s="120">
        <v>4.6308000000000007</v>
      </c>
      <c r="N66" s="30">
        <v>2.2800000000000002</v>
      </c>
      <c r="O66" s="30">
        <v>18.718405760433232</v>
      </c>
      <c r="P66" s="30">
        <v>4.242191144208201</v>
      </c>
      <c r="Q66" s="39">
        <v>-2.4640705585988218</v>
      </c>
      <c r="R66" s="120">
        <v>6.8687999999999985</v>
      </c>
      <c r="S66" s="30">
        <v>3.4896000000000003</v>
      </c>
      <c r="T66" s="30">
        <v>29.421290166319942</v>
      </c>
      <c r="U66" s="30">
        <v>4.4607478895634944</v>
      </c>
      <c r="V66" s="39">
        <v>-2.4295725395912995</v>
      </c>
      <c r="W66" s="30">
        <v>1.8312000000000004</v>
      </c>
      <c r="X66" s="30">
        <v>0.89160000000000006</v>
      </c>
      <c r="Y66" s="30">
        <v>36.34839695591134</v>
      </c>
      <c r="Z66" s="30">
        <v>20.453765395473916</v>
      </c>
      <c r="AA66" s="39">
        <v>-2.0765051901967473</v>
      </c>
      <c r="AB66" s="120">
        <v>2.3891999999999998</v>
      </c>
      <c r="AC66" s="30">
        <v>1.1592</v>
      </c>
      <c r="AD66" s="30">
        <v>45.953422724531634</v>
      </c>
      <c r="AE66" s="30">
        <v>20.645351098053577</v>
      </c>
      <c r="AF66" s="39">
        <v>-2.2135603470343144</v>
      </c>
    </row>
    <row r="67">
      <c r="A67" s="42" t="s">
        <v>139</v>
      </c>
      <c r="B67" s="43">
        <v>1</v>
      </c>
      <c r="C67" s="129">
        <v>9.0800000000000001</v>
      </c>
      <c r="D67" s="30">
        <v>6.2396974043218814</v>
      </c>
      <c r="E67" s="30">
        <v>0.12392607758170932</v>
      </c>
      <c r="F67" s="30">
        <v>0.041295851948444207</v>
      </c>
      <c r="G67" s="30">
        <v>0.041427275589538196</v>
      </c>
      <c r="H67" s="97">
        <v>9.3887999999999998</v>
      </c>
      <c r="I67" s="30">
        <v>3.8031999999999995</v>
      </c>
      <c r="J67" s="30">
        <v>10.523414594555906</v>
      </c>
      <c r="K67" s="30">
        <v>1.2634960774216617</v>
      </c>
      <c r="L67" s="30">
        <v>-2.7719275201878473</v>
      </c>
      <c r="M67" s="120">
        <v>8.1143999999999998</v>
      </c>
      <c r="N67" s="30">
        <v>3.7428000000000003</v>
      </c>
      <c r="O67" s="30">
        <v>20.242522325717971</v>
      </c>
      <c r="P67" s="30">
        <v>2.5565659637656504</v>
      </c>
      <c r="Q67" s="39">
        <v>-2.6905580619724536</v>
      </c>
      <c r="R67" s="120">
        <v>9.1524000000000019</v>
      </c>
      <c r="S67" s="30">
        <v>4.3104000000000005</v>
      </c>
      <c r="T67" s="30">
        <v>29.815123975438517</v>
      </c>
      <c r="U67" s="30">
        <v>3.2672149577822638</v>
      </c>
      <c r="V67" s="39">
        <v>-2.8950515508413348</v>
      </c>
      <c r="W67" s="30">
        <v>7.5516000000000005</v>
      </c>
      <c r="X67" s="30">
        <v>3.2064000000000008</v>
      </c>
      <c r="Y67" s="30">
        <v>40.092912454097061</v>
      </c>
      <c r="Z67" s="30">
        <v>5.3997719287415329</v>
      </c>
      <c r="AA67" s="39">
        <v>-2.5954239387180147</v>
      </c>
      <c r="AB67" s="120">
        <v>12.680400000000001</v>
      </c>
      <c r="AC67" s="30">
        <v>6.0600000000000005</v>
      </c>
      <c r="AD67" s="30">
        <v>48.88857550320477</v>
      </c>
      <c r="AE67" s="30">
        <v>4.0098072692551678</v>
      </c>
      <c r="AF67" s="39">
        <v>-2.8529419191083982</v>
      </c>
    </row>
    <row r="68">
      <c r="A68" s="59" t="s">
        <v>138</v>
      </c>
      <c r="B68" s="130">
        <v>2</v>
      </c>
      <c r="C68" s="137">
        <v>10</v>
      </c>
      <c r="D68" s="75">
        <v>1.4897592921291374</v>
      </c>
      <c r="E68" s="75">
        <v>0.31128356539155921</v>
      </c>
      <c r="F68" s="75">
        <v>0.3816227696180281</v>
      </c>
      <c r="G68" s="75">
        <v>0.3826007005955383</v>
      </c>
      <c r="H68" s="110">
        <v>2.6052000000000004</v>
      </c>
      <c r="I68" s="75">
        <v>1.2296</v>
      </c>
      <c r="J68" s="75">
        <v>10.186448577849998</v>
      </c>
      <c r="K68" s="75">
        <v>3.9601252727962049</v>
      </c>
      <c r="L68" s="75">
        <v>-2.1120127527121162</v>
      </c>
      <c r="M68" s="154">
        <v>3.7020000000000004</v>
      </c>
      <c r="N68" s="75">
        <v>1.8311999999999997</v>
      </c>
      <c r="O68" s="75">
        <v>20.082523340860625</v>
      </c>
      <c r="P68" s="75">
        <v>5.4623073960363389</v>
      </c>
      <c r="Q68" s="78">
        <v>-2.180733454111885</v>
      </c>
      <c r="R68" s="154">
        <v>5.4311999999999996</v>
      </c>
      <c r="S68" s="75">
        <v>2.6231999999999998</v>
      </c>
      <c r="T68" s="75">
        <v>29.691332333405562</v>
      </c>
      <c r="U68" s="75">
        <v>5.6394117884876369</v>
      </c>
      <c r="V68" s="78">
        <v>-2.4148083854387905</v>
      </c>
      <c r="W68" s="75">
        <v>4.7544000000000004</v>
      </c>
      <c r="X68" s="75">
        <v>2.2991999999999999</v>
      </c>
      <c r="Y68" s="75">
        <v>39.279342382965169</v>
      </c>
      <c r="Z68" s="75">
        <v>8.5875669195187641</v>
      </c>
      <c r="AA68" s="78">
        <v>-2.2345391680623723</v>
      </c>
      <c r="AB68" s="154">
        <v>4.2924000000000007</v>
      </c>
      <c r="AC68" s="75">
        <v>2.0220000000000002</v>
      </c>
      <c r="AD68" s="75">
        <v>49.144781241368264</v>
      </c>
      <c r="AE68" s="75">
        <v>11.681297253365134</v>
      </c>
      <c r="AF68" s="78">
        <v>-2.047607159385918</v>
      </c>
    </row>
    <row r="69">
      <c r="A69" s="52" t="s">
        <v>138</v>
      </c>
      <c r="B69" s="43">
        <v>2</v>
      </c>
      <c r="C69" s="132">
        <v>10</v>
      </c>
      <c r="D69" s="30">
        <v>1.09392125717259</v>
      </c>
      <c r="E69" s="30">
        <v>0.25593190694099083</v>
      </c>
      <c r="F69" s="30">
        <v>0.42741176776752798</v>
      </c>
      <c r="G69" s="30">
        <v>0.427498172043068</v>
      </c>
      <c r="H69" s="97">
        <v>2.1284000000000001</v>
      </c>
      <c r="I69" s="30">
        <v>1.012</v>
      </c>
      <c r="J69" s="30">
        <v>9.7219808395096585</v>
      </c>
      <c r="K69" s="30">
        <v>4.8087377769818334</v>
      </c>
      <c r="L69" s="30">
        <v>-1.979136102157834</v>
      </c>
      <c r="M69" s="120">
        <v>2.0292000000000003</v>
      </c>
      <c r="N69" s="30">
        <v>0.93360000000000021</v>
      </c>
      <c r="O69" s="30">
        <v>19.236888053641461</v>
      </c>
      <c r="P69" s="30">
        <v>9.7277446557475145</v>
      </c>
      <c r="Q69" s="39">
        <v>-2.2092098730172802</v>
      </c>
      <c r="R69" s="120">
        <v>2.73</v>
      </c>
      <c r="S69" s="30">
        <v>1.2816000000000001</v>
      </c>
      <c r="T69" s="30">
        <v>27.368908761302635</v>
      </c>
      <c r="U69" s="30">
        <v>10.092146369002879</v>
      </c>
      <c r="V69" s="39">
        <v>-1.9968983195343561</v>
      </c>
      <c r="W69" s="30">
        <v>2.6184000000000003</v>
      </c>
      <c r="X69" s="30">
        <v>1.1376000000000002</v>
      </c>
      <c r="Y69" s="30">
        <v>39.027008261532956</v>
      </c>
      <c r="Z69" s="30">
        <v>14.956568086550769</v>
      </c>
      <c r="AA69" s="39">
        <v>-2.1452223863677222</v>
      </c>
      <c r="AB69" s="120">
        <v>3.0743999999999998</v>
      </c>
      <c r="AC69" s="30">
        <v>1.3728000000000002</v>
      </c>
      <c r="AD69" s="30">
        <v>47.881576013453866</v>
      </c>
      <c r="AE69" s="30">
        <v>15.690049759535205</v>
      </c>
      <c r="AF69" s="39">
        <v>-2.1361697168127485</v>
      </c>
    </row>
    <row r="70">
      <c r="A70" s="52" t="s">
        <v>138</v>
      </c>
      <c r="B70" s="43">
        <v>1</v>
      </c>
      <c r="C70" s="132">
        <v>10</v>
      </c>
      <c r="D70" s="30">
        <v>4.1391084981894464</v>
      </c>
      <c r="E70" s="30">
        <v>0.28314633269686962</v>
      </c>
      <c r="F70" s="30">
        <v>0.55378003318348201</v>
      </c>
      <c r="G70" s="30">
        <v>0.55412456238225782</v>
      </c>
      <c r="H70" s="97">
        <v>8.5080000000000009</v>
      </c>
      <c r="I70" s="30">
        <v>3.8175000000000003</v>
      </c>
      <c r="J70" s="30">
        <v>10.020397359072865</v>
      </c>
      <c r="K70" s="30">
        <v>1.1807509523829134</v>
      </c>
      <c r="L70" s="30">
        <v>-2.7189322439026533</v>
      </c>
      <c r="M70" s="120">
        <v>9.7160000000000011</v>
      </c>
      <c r="N70" s="30">
        <v>4.3280000000000003</v>
      </c>
      <c r="O70" s="30">
        <v>20.222893318103036</v>
      </c>
      <c r="P70" s="30">
        <v>2.0990499273842365</v>
      </c>
      <c r="Q70" s="39">
        <v>-3.2086212832888115</v>
      </c>
      <c r="R70" s="120">
        <v>9.6044999999999998</v>
      </c>
      <c r="S70" s="30">
        <v>4.4489999999999998</v>
      </c>
      <c r="T70" s="30">
        <v>30.042558837615111</v>
      </c>
      <c r="U70" s="30">
        <v>3.1590319341563058</v>
      </c>
      <c r="V70" s="39">
        <v>-2.6941858120791875</v>
      </c>
      <c r="W70" s="30">
        <v>11.401500000000002</v>
      </c>
      <c r="X70" s="30">
        <v>5.4030000000000005</v>
      </c>
      <c r="Y70" s="30">
        <v>40.121573319545739</v>
      </c>
      <c r="Z70" s="30">
        <v>3.5306123612762041</v>
      </c>
      <c r="AA70" s="39">
        <v>-2.6004072237252407</v>
      </c>
      <c r="AB70" s="120">
        <v>13.379999999999999</v>
      </c>
      <c r="AC70" s="30">
        <v>6.0179999999999989</v>
      </c>
      <c r="AD70" s="30">
        <v>49.919979110912806</v>
      </c>
      <c r="AE70" s="30">
        <v>3.8191480818780676</v>
      </c>
      <c r="AF70" s="39">
        <v>-2.992988239512941</v>
      </c>
    </row>
    <row r="71">
      <c r="A71" s="52" t="s">
        <v>138</v>
      </c>
      <c r="B71" s="43">
        <v>1</v>
      </c>
      <c r="C71" s="132">
        <v>10</v>
      </c>
      <c r="D71" s="30">
        <v>1.6856606801738656</v>
      </c>
      <c r="E71" s="30">
        <v>0.54594189105618829</v>
      </c>
      <c r="F71" s="30">
        <v>0.78841655882776773</v>
      </c>
      <c r="G71" s="30">
        <v>0.78845607500163528</v>
      </c>
      <c r="H71" s="97">
        <v>5.6559999999999997</v>
      </c>
      <c r="I71" s="30">
        <v>2.7580000000000005</v>
      </c>
      <c r="J71" s="30">
        <v>10.094621790851265</v>
      </c>
      <c r="K71" s="30">
        <v>1.806671739026358</v>
      </c>
      <c r="L71" s="30">
        <v>-2.5344108669031953</v>
      </c>
      <c r="M71" s="120">
        <v>8.9550000000000018</v>
      </c>
      <c r="N71" s="30">
        <v>4.3620000000000001</v>
      </c>
      <c r="O71" s="30">
        <v>19.639916190160555</v>
      </c>
      <c r="P71" s="30">
        <v>2.2360003750386914</v>
      </c>
      <c r="Q71" s="39">
        <v>-2.7221254092440148</v>
      </c>
      <c r="R71" s="120">
        <v>10.404</v>
      </c>
      <c r="S71" s="30">
        <v>5.3100000000000005</v>
      </c>
      <c r="T71" s="30">
        <v>29.068315071366271</v>
      </c>
      <c r="U71" s="30">
        <v>2.8132507273690317</v>
      </c>
      <c r="V71" s="39">
        <v>-2.9544298603711181</v>
      </c>
      <c r="W71" s="30">
        <v>12.672000000000001</v>
      </c>
      <c r="X71" s="30">
        <v>6.0120000000000005</v>
      </c>
      <c r="Y71" s="30">
        <v>39.098183330675809</v>
      </c>
      <c r="Z71" s="30">
        <v>3.0961451160512867</v>
      </c>
      <c r="AA71" s="39">
        <v>-2.835178667077443</v>
      </c>
      <c r="AB71" s="120">
        <v>13.914000000000001</v>
      </c>
      <c r="AC71" s="30">
        <v>6.7720000000000011</v>
      </c>
      <c r="AD71" s="30">
        <v>48.424450775678771</v>
      </c>
      <c r="AE71" s="30">
        <v>3.6160989766040523</v>
      </c>
      <c r="AF71" s="39">
        <v>-2.6520547992727388</v>
      </c>
    </row>
    <row r="72">
      <c r="A72" s="52" t="s">
        <v>138</v>
      </c>
      <c r="B72" s="43">
        <v>1</v>
      </c>
      <c r="C72" s="132">
        <v>10</v>
      </c>
      <c r="D72" s="30">
        <v>10.115951878108353</v>
      </c>
      <c r="E72" s="30">
        <v>-0.16468696170541305</v>
      </c>
      <c r="F72" s="30">
        <v>0.14075515869776389</v>
      </c>
      <c r="G72" s="30">
        <v>0.14076677954569378</v>
      </c>
      <c r="H72" s="97">
        <v>6.9800000000000004</v>
      </c>
      <c r="I72" s="30">
        <v>3.2620000000000005</v>
      </c>
      <c r="J72" s="30">
        <v>9.7448145297031186</v>
      </c>
      <c r="K72" s="30">
        <v>1.3973056606473888</v>
      </c>
      <c r="L72" s="30">
        <v>-2.7504378289371707</v>
      </c>
      <c r="M72" s="120">
        <v>6.6720000000000006</v>
      </c>
      <c r="N72" s="30">
        <v>3.036</v>
      </c>
      <c r="O72" s="30">
        <v>19.366344464763085</v>
      </c>
      <c r="P72" s="30">
        <v>3.8591361161988438</v>
      </c>
      <c r="Q72" s="39">
        <v>-2.3692695867231484</v>
      </c>
      <c r="R72" s="120">
        <v>5.3985000000000003</v>
      </c>
      <c r="S72" s="30">
        <v>2.6685000000000003</v>
      </c>
      <c r="T72" s="30">
        <v>29.4689404846585</v>
      </c>
      <c r="U72" s="30">
        <v>5.5878488621102846</v>
      </c>
      <c r="V72" s="39">
        <v>-2.2486700187048401</v>
      </c>
      <c r="W72" s="30">
        <v>5.2710000000000008</v>
      </c>
      <c r="X72" s="30">
        <v>2.5560000000000005</v>
      </c>
      <c r="Y72" s="30">
        <v>39.08947793989568</v>
      </c>
      <c r="Z72" s="30">
        <v>7.4475542811586077</v>
      </c>
      <c r="AA72" s="39">
        <v>-2.1465445181841765</v>
      </c>
      <c r="AB72" s="120">
        <v>5.8840000000000003</v>
      </c>
      <c r="AC72" s="30">
        <v>2.4399999999999999</v>
      </c>
      <c r="AD72" s="30">
        <v>48.316547694165841</v>
      </c>
      <c r="AE72" s="30">
        <v>8.4182894511008328</v>
      </c>
      <c r="AF72" s="39">
        <v>-2.1229568220999977</v>
      </c>
    </row>
    <row r="73">
      <c r="A73" s="43" t="s">
        <v>139</v>
      </c>
      <c r="B73" s="43">
        <v>1</v>
      </c>
      <c r="C73" s="132">
        <v>10</v>
      </c>
      <c r="D73" s="30">
        <v>2.0487683947054718</v>
      </c>
      <c r="E73" s="30">
        <v>0.27775271171284549</v>
      </c>
      <c r="F73" s="30">
        <v>0.21860195373755453</v>
      </c>
      <c r="G73" s="30">
        <v>0.21863282398543626</v>
      </c>
      <c r="H73" s="97">
        <v>3.4760000000000004</v>
      </c>
      <c r="I73" s="30">
        <v>1.6779999999999999</v>
      </c>
      <c r="J73" s="30">
        <v>10.282172967104566</v>
      </c>
      <c r="K73" s="30">
        <v>2.9966184860500462</v>
      </c>
      <c r="L73" s="30">
        <v>-2.2446443007173769</v>
      </c>
      <c r="M73" s="120">
        <v>5.5284000000000004</v>
      </c>
      <c r="N73" s="30">
        <v>2.8404000000000003</v>
      </c>
      <c r="O73" s="30">
        <v>20.707267347403565</v>
      </c>
      <c r="P73" s="30">
        <v>3.9813332210897343</v>
      </c>
      <c r="Q73" s="39">
        <v>-2.6840906282580503</v>
      </c>
      <c r="R73" s="120">
        <v>3.8250000000000002</v>
      </c>
      <c r="S73" s="30">
        <v>1.9140000000000001</v>
      </c>
      <c r="T73" s="30">
        <v>29.293072129958318</v>
      </c>
      <c r="U73" s="30">
        <v>7.8240770240044366</v>
      </c>
      <c r="V73" s="39">
        <v>-2.0693141372645991</v>
      </c>
      <c r="W73" s="30">
        <v>4.1160000000000005</v>
      </c>
      <c r="X73" s="30">
        <v>1.9500000000000002</v>
      </c>
      <c r="Y73" s="30">
        <v>39.622960276942436</v>
      </c>
      <c r="Z73" s="30">
        <v>9.6265695522211931</v>
      </c>
      <c r="AA73" s="39">
        <v>-2.225800698953627</v>
      </c>
      <c r="AB73" s="120">
        <v>6.6400000000000006</v>
      </c>
      <c r="AC73" s="30">
        <v>3.1220000000000003</v>
      </c>
      <c r="AD73" s="30">
        <v>48.971063614882034</v>
      </c>
      <c r="AE73" s="30">
        <v>7.7458231414810284</v>
      </c>
      <c r="AF73" s="39">
        <v>-2.3372057076362553</v>
      </c>
    </row>
    <row r="74">
      <c r="A74" s="42" t="s">
        <v>139</v>
      </c>
      <c r="B74" s="43">
        <v>2</v>
      </c>
      <c r="C74" s="119">
        <v>10</v>
      </c>
      <c r="D74" s="30">
        <v>0.92683760303725338</v>
      </c>
      <c r="E74" s="30">
        <v>0.61141743396637682</v>
      </c>
      <c r="F74" s="30">
        <v>0.74233151897423622</v>
      </c>
      <c r="G74" s="30">
        <v>0.74253801560468258</v>
      </c>
      <c r="H74" s="97">
        <v>3.9055999999999997</v>
      </c>
      <c r="I74" s="30">
        <v>1.9976000000000003</v>
      </c>
      <c r="J74" s="30">
        <v>9.7555045434823455</v>
      </c>
      <c r="K74" s="30">
        <v>2.5027209707054929</v>
      </c>
      <c r="L74" s="30">
        <v>-2.478170977167315</v>
      </c>
      <c r="M74" s="120">
        <v>5.8823999999999996</v>
      </c>
      <c r="N74" s="30">
        <v>2.6844000000000001</v>
      </c>
      <c r="O74" s="30">
        <v>19.481152171411519</v>
      </c>
      <c r="P74" s="30">
        <v>3.4667502090178877</v>
      </c>
      <c r="Q74" s="39">
        <v>-2.6307472695026664</v>
      </c>
      <c r="R74" s="120">
        <v>7.3295999999999992</v>
      </c>
      <c r="S74" s="30">
        <v>3.5928000000000004</v>
      </c>
      <c r="T74" s="30">
        <v>29.429528313169662</v>
      </c>
      <c r="U74" s="30">
        <v>4.0812613629084833</v>
      </c>
      <c r="V74" s="39">
        <v>-2.6646857240180282</v>
      </c>
      <c r="W74" s="30">
        <v>7.6392000000000007</v>
      </c>
      <c r="X74" s="30">
        <v>3.4164000000000003</v>
      </c>
      <c r="Y74" s="30">
        <v>38.695962857561781</v>
      </c>
      <c r="Z74" s="30">
        <v>5.1393377187003013</v>
      </c>
      <c r="AA74" s="39">
        <v>-2.335882511841413</v>
      </c>
      <c r="AB74" s="120">
        <v>10.621200000000002</v>
      </c>
      <c r="AC74" s="30">
        <v>4.9787999999999997</v>
      </c>
      <c r="AD74" s="30">
        <v>48.18034001337363</v>
      </c>
      <c r="AE74" s="30">
        <v>4.6597832802657724</v>
      </c>
      <c r="AF74" s="39">
        <v>-2.9178764533493462</v>
      </c>
    </row>
    <row r="75">
      <c r="A75" s="42" t="s">
        <v>138</v>
      </c>
      <c r="B75" s="155">
        <v>2</v>
      </c>
      <c r="C75" s="156">
        <v>10.02</v>
      </c>
      <c r="D75" s="30">
        <v>10.652628642842727</v>
      </c>
      <c r="E75" s="30">
        <v>-0.14532122042695889</v>
      </c>
      <c r="F75" s="30">
        <v>0.037584179339400836</v>
      </c>
      <c r="G75" s="30">
        <v>0.037967784264035895</v>
      </c>
      <c r="H75" s="97">
        <v>9.4024000000000001</v>
      </c>
      <c r="I75" s="30">
        <v>4.0151999999999992</v>
      </c>
      <c r="J75" s="30">
        <v>9.7703238749233812</v>
      </c>
      <c r="K75" s="30">
        <v>1.3725293875249578</v>
      </c>
      <c r="L75" s="30">
        <v>-2.9922705942079899</v>
      </c>
      <c r="M75" s="120">
        <v>4.1534000000000004</v>
      </c>
      <c r="N75" s="30">
        <v>2.0759999999999996</v>
      </c>
      <c r="O75" s="30">
        <v>19.936624207636232</v>
      </c>
      <c r="P75" s="30">
        <v>4.8435206971338323</v>
      </c>
      <c r="Q75" s="39">
        <v>-2.1827277937650562</v>
      </c>
      <c r="R75" s="120">
        <v>4.8107999999999995</v>
      </c>
      <c r="S75" s="30">
        <v>2.1564000000000001</v>
      </c>
      <c r="T75" s="30">
        <v>28.598463184662556</v>
      </c>
      <c r="U75" s="30">
        <v>5.9760163825052866</v>
      </c>
      <c r="V75" s="39">
        <v>-2.2235298879527212</v>
      </c>
      <c r="W75" s="30">
        <v>8.0411999999999999</v>
      </c>
      <c r="X75" s="30">
        <v>3.4259999999999997</v>
      </c>
      <c r="Y75" s="30">
        <v>38.771372670898884</v>
      </c>
      <c r="Z75" s="30">
        <v>4.8827428449472139</v>
      </c>
      <c r="AA75" s="39">
        <v>-2.4778781516933743</v>
      </c>
      <c r="AB75" s="120">
        <v>7.0200000000000005</v>
      </c>
      <c r="AC75" s="30">
        <v>3.0791999999999997</v>
      </c>
      <c r="AD75" s="30">
        <v>48.727888221240889</v>
      </c>
      <c r="AE75" s="30">
        <v>7.0390516256108864</v>
      </c>
      <c r="AF75" s="39">
        <v>-2.3428280384671942</v>
      </c>
    </row>
    <row r="76">
      <c r="A76" s="42" t="s">
        <v>139</v>
      </c>
      <c r="B76" s="43">
        <v>2</v>
      </c>
      <c r="C76" s="119">
        <v>10.029999999999999</v>
      </c>
      <c r="D76" s="30">
        <v>7.3749596011226419</v>
      </c>
      <c r="E76" s="30">
        <v>0.12456382227811472</v>
      </c>
      <c r="F76" s="30">
        <v>0.19580032330433572</v>
      </c>
      <c r="G76" s="30">
        <v>0.19659626497223257</v>
      </c>
      <c r="H76" s="97">
        <v>9.1065000000000005</v>
      </c>
      <c r="I76" s="30">
        <v>5.2149999999999999</v>
      </c>
      <c r="J76" s="30">
        <v>8.9793747720933972</v>
      </c>
      <c r="K76" s="30">
        <v>0.94083762693642781</v>
      </c>
      <c r="L76" s="30">
        <v>-3.4641645031112436</v>
      </c>
      <c r="M76" s="120">
        <v>11.4636</v>
      </c>
      <c r="N76" s="30">
        <v>5.8800000000000008</v>
      </c>
      <c r="O76" s="30">
        <v>19.772760113726768</v>
      </c>
      <c r="P76" s="30">
        <v>1.7556073312253013</v>
      </c>
      <c r="Q76" s="39">
        <v>-3.4826266706899376</v>
      </c>
      <c r="R76" s="120">
        <v>11.679600000000001</v>
      </c>
      <c r="S76" s="30">
        <v>6.2460000000000004</v>
      </c>
      <c r="T76" s="30">
        <v>25.660377797996155</v>
      </c>
      <c r="U76" s="30">
        <v>2.3054087012833571</v>
      </c>
      <c r="V76" s="39">
        <v>-3.5984906250106925</v>
      </c>
      <c r="W76" s="30">
        <v>11.710800000000001</v>
      </c>
      <c r="X76" s="30">
        <v>5.4456000000000007</v>
      </c>
      <c r="Y76" s="30">
        <v>39.065302640634847</v>
      </c>
      <c r="Z76" s="30">
        <v>3.3405315740312176</v>
      </c>
      <c r="AA76" s="39">
        <v>-3.2909924854081902</v>
      </c>
      <c r="AB76" s="120">
        <v>10.8492</v>
      </c>
      <c r="AC76" s="30">
        <v>5.0076000000000009</v>
      </c>
      <c r="AD76" s="30">
        <v>48.798896687712656</v>
      </c>
      <c r="AE76" s="30">
        <v>4.5479986814090596</v>
      </c>
      <c r="AF76" s="39">
        <v>-2.6603049493366653</v>
      </c>
    </row>
    <row r="77">
      <c r="A77" s="42" t="s">
        <v>138</v>
      </c>
      <c r="B77" s="130">
        <v>1</v>
      </c>
      <c r="C77" s="131">
        <v>10.039999999999999</v>
      </c>
      <c r="D77" s="30">
        <v>0.42714436575314363</v>
      </c>
      <c r="E77" s="30">
        <v>0.63488755478730408</v>
      </c>
      <c r="F77" s="30">
        <v>0.67451446432376128</v>
      </c>
      <c r="G77" s="30">
        <v>0.67640526731079287</v>
      </c>
      <c r="H77" s="97">
        <v>2.1924000000000001</v>
      </c>
      <c r="I77" s="30">
        <v>0.90360000000000018</v>
      </c>
      <c r="J77" s="30">
        <v>9.3691912309859724</v>
      </c>
      <c r="K77" s="30">
        <v>4.6466371451716366</v>
      </c>
      <c r="L77" s="30">
        <v>-2.2491405930246833</v>
      </c>
      <c r="M77" s="120">
        <v>2.5608</v>
      </c>
      <c r="N77" s="30">
        <v>1.2336000000000003</v>
      </c>
      <c r="O77" s="30">
        <v>19.386769039512895</v>
      </c>
      <c r="P77" s="30">
        <v>7.7052410618920204</v>
      </c>
      <c r="Q77" s="39">
        <v>-2.3267872529923785</v>
      </c>
      <c r="R77" s="120">
        <v>3.5376000000000003</v>
      </c>
      <c r="S77" s="30">
        <v>1.6524000000000001</v>
      </c>
      <c r="T77" s="30">
        <v>28.594722609610574</v>
      </c>
      <c r="U77" s="30">
        <v>8.4273802060641678</v>
      </c>
      <c r="V77" s="39">
        <v>-2.4674501309291772</v>
      </c>
      <c r="W77" s="30">
        <v>3.8520000000000003</v>
      </c>
      <c r="X77" s="30">
        <v>1.8420000000000001</v>
      </c>
      <c r="Y77" s="30">
        <v>37.870904885858771</v>
      </c>
      <c r="Z77" s="30">
        <v>10.069850816058773</v>
      </c>
      <c r="AA77" s="39">
        <v>-2.4383234990614682</v>
      </c>
      <c r="AB77" s="120">
        <v>5.3472</v>
      </c>
      <c r="AC77" s="30">
        <v>2.5740000000000003</v>
      </c>
      <c r="AD77" s="30">
        <v>47.422583585898074</v>
      </c>
      <c r="AE77" s="30">
        <v>9.0993300006049775</v>
      </c>
      <c r="AF77" s="39">
        <v>-2.5450280507045129</v>
      </c>
    </row>
    <row r="78">
      <c r="A78" s="42" t="s">
        <v>138</v>
      </c>
      <c r="B78" s="123">
        <v>2</v>
      </c>
      <c r="C78" s="122">
        <v>10.039999999999999</v>
      </c>
      <c r="D78" s="30">
        <v>0.27786099773401207</v>
      </c>
      <c r="E78" s="30">
        <v>0.60248863076639492</v>
      </c>
      <c r="F78" s="30">
        <v>0.7590590851806972</v>
      </c>
      <c r="G78" s="30">
        <v>0.75906723235013496</v>
      </c>
      <c r="H78" s="97">
        <v>1.1903999999999999</v>
      </c>
      <c r="I78" s="30">
        <v>0.59360000000000002</v>
      </c>
      <c r="J78" s="30">
        <v>10.485254522433577</v>
      </c>
      <c r="K78" s="30">
        <v>9.0678849734002789</v>
      </c>
      <c r="L78" s="30">
        <v>-2.1063164381954538</v>
      </c>
      <c r="M78" s="120">
        <v>1.5032000000000001</v>
      </c>
      <c r="N78" s="30">
        <v>0.70680000000000009</v>
      </c>
      <c r="O78" s="30">
        <v>20.008285050342593</v>
      </c>
      <c r="P78" s="30">
        <v>13.424562654108286</v>
      </c>
      <c r="Q78" s="39">
        <v>-2.1777499449834128</v>
      </c>
      <c r="R78" s="120">
        <v>2.3004000000000002</v>
      </c>
      <c r="S78" s="30">
        <v>1.1352</v>
      </c>
      <c r="T78" s="30">
        <v>29.575839591868665</v>
      </c>
      <c r="U78" s="30">
        <v>12.946340664534805</v>
      </c>
      <c r="V78" s="39">
        <v>-2.3217453356236226</v>
      </c>
      <c r="W78" s="30">
        <v>2.4804000000000004</v>
      </c>
      <c r="X78" s="30">
        <v>1.2864</v>
      </c>
      <c r="Y78" s="30">
        <v>37.345204629617839</v>
      </c>
      <c r="Z78" s="30">
        <v>16.094704987459629</v>
      </c>
      <c r="AA78" s="39">
        <v>-2.249669766518847</v>
      </c>
      <c r="AB78" s="120">
        <v>2.8668</v>
      </c>
      <c r="AC78" s="30">
        <v>1.3679999999999999</v>
      </c>
      <c r="AD78" s="30">
        <v>49.247824826105898</v>
      </c>
      <c r="AE78" s="30">
        <v>17.296972488747723</v>
      </c>
      <c r="AF78" s="39">
        <v>-2.2170620233853615</v>
      </c>
    </row>
    <row r="79">
      <c r="A79" s="43" t="s">
        <v>139</v>
      </c>
      <c r="B79" s="43">
        <v>1</v>
      </c>
      <c r="C79" s="126">
        <v>10.06</v>
      </c>
      <c r="D79" s="30">
        <v>2.6506578376495207</v>
      </c>
      <c r="E79" s="30">
        <v>0.25453946202440281</v>
      </c>
      <c r="F79" s="30">
        <v>0.14849559965809367</v>
      </c>
      <c r="G79" s="30">
        <v>0.14858508494872774</v>
      </c>
      <c r="H79" s="97">
        <v>4.1120000000000001</v>
      </c>
      <c r="I79" s="30">
        <v>2.1567999999999996</v>
      </c>
      <c r="J79" s="30">
        <v>9.9365690010609171</v>
      </c>
      <c r="K79" s="30">
        <v>2.4648379893986117</v>
      </c>
      <c r="L79" s="30">
        <v>-2.1479289593341955</v>
      </c>
      <c r="M79" s="120">
        <v>7.184400000000001</v>
      </c>
      <c r="N79" s="30">
        <v>3.3335999999999997</v>
      </c>
      <c r="O79" s="30">
        <v>19.876026116261293</v>
      </c>
      <c r="P79" s="30">
        <v>2.8353335265064463</v>
      </c>
      <c r="Q79" s="39">
        <v>-2.6790509036470382</v>
      </c>
      <c r="R79" s="120">
        <v>5.3915999999999995</v>
      </c>
      <c r="S79" s="30">
        <v>2.7792000000000003</v>
      </c>
      <c r="T79" s="30">
        <v>28.818691466906557</v>
      </c>
      <c r="U79" s="30">
        <v>6.0045217348602948</v>
      </c>
      <c r="V79" s="39">
        <v>-2.4462958104340617</v>
      </c>
      <c r="W79" s="30">
        <v>6.7212000000000005</v>
      </c>
      <c r="X79" s="30">
        <v>3.3359999999999999</v>
      </c>
      <c r="Y79" s="30">
        <v>38.319832963807343</v>
      </c>
      <c r="Z79" s="30">
        <v>5.8441238393772421</v>
      </c>
      <c r="AA79" s="39">
        <v>-2.6107743086621675</v>
      </c>
      <c r="AB79" s="120">
        <v>7.0344000000000007</v>
      </c>
      <c r="AC79" s="30">
        <v>3.7164000000000001</v>
      </c>
      <c r="AD79" s="30">
        <v>47.712270263808307</v>
      </c>
      <c r="AE79" s="30">
        <v>7.7819995342481763</v>
      </c>
      <c r="AF79" s="39">
        <v>-2.4357159950509222</v>
      </c>
    </row>
    <row r="80">
      <c r="A80" s="43" t="s">
        <v>139</v>
      </c>
      <c r="B80" s="43">
        <v>1</v>
      </c>
      <c r="C80" s="126">
        <v>10.06</v>
      </c>
      <c r="D80" s="30">
        <v>4.6629040926043155</v>
      </c>
      <c r="E80" s="30">
        <v>0.12857462259275482</v>
      </c>
      <c r="F80" s="30">
        <v>0.12813951889306352</v>
      </c>
      <c r="G80" s="30">
        <v>0.1281723925777925</v>
      </c>
      <c r="H80" s="97">
        <v>5.6736000000000004</v>
      </c>
      <c r="I80" s="30">
        <v>2.6095999999999999</v>
      </c>
      <c r="J80" s="30">
        <v>9.4105209793255717</v>
      </c>
      <c r="K80" s="30">
        <v>1.6915406798502666</v>
      </c>
      <c r="L80" s="30">
        <v>-2.6543894363191471</v>
      </c>
      <c r="M80" s="120">
        <v>8.6628000000000007</v>
      </c>
      <c r="N80" s="30">
        <v>3.9060000000000001</v>
      </c>
      <c r="O80" s="30">
        <v>19.957836704524155</v>
      </c>
      <c r="P80" s="30">
        <v>2.3206701064445334</v>
      </c>
      <c r="Q80" s="39">
        <v>-3.3606750286068823</v>
      </c>
      <c r="R80" s="120">
        <v>6.1776</v>
      </c>
      <c r="S80" s="30">
        <v>2.9052000000000007</v>
      </c>
      <c r="T80" s="30">
        <v>28.011045927026696</v>
      </c>
      <c r="U80" s="30">
        <v>4.6249939957491177</v>
      </c>
      <c r="V80" s="39">
        <v>-2.6882633013612334</v>
      </c>
      <c r="W80" s="30">
        <v>6.6225000000000005</v>
      </c>
      <c r="X80" s="30">
        <v>2.9340000000000002</v>
      </c>
      <c r="Y80" s="30">
        <v>38.254793289523931</v>
      </c>
      <c r="Z80" s="30">
        <v>5.8002569648370113</v>
      </c>
      <c r="AA80" s="39">
        <v>-2.7405159953197682</v>
      </c>
      <c r="AB80" s="120">
        <v>8.0351999999999997</v>
      </c>
      <c r="AC80" s="30">
        <v>3.7764000000000002</v>
      </c>
      <c r="AD80" s="30">
        <v>47.616731792160699</v>
      </c>
      <c r="AE80" s="30">
        <v>6.0343721849837699</v>
      </c>
      <c r="AF80" s="39">
        <v>-2.9552602455723052</v>
      </c>
    </row>
    <row r="81">
      <c r="A81" s="43" t="s">
        <v>139</v>
      </c>
      <c r="B81" s="43">
        <v>1</v>
      </c>
      <c r="C81" s="126">
        <v>10.06</v>
      </c>
      <c r="D81" s="30">
        <v>10.197060635091423</v>
      </c>
      <c r="E81" s="30">
        <v>-0.060444567995169333</v>
      </c>
      <c r="F81" s="30">
        <v>0.02785215981451028</v>
      </c>
      <c r="G81" s="30">
        <v>0.027860441927733307</v>
      </c>
      <c r="H81" s="97">
        <v>9.1888000000000005</v>
      </c>
      <c r="I81" s="30">
        <v>4.6784000000000008</v>
      </c>
      <c r="J81" s="30">
        <v>10.86446283339226</v>
      </c>
      <c r="K81" s="30">
        <v>1.3471896338514426</v>
      </c>
      <c r="L81" s="30">
        <v>-3.6228417550999241</v>
      </c>
      <c r="M81" s="120">
        <v>8.0460000000000012</v>
      </c>
      <c r="N81" s="30">
        <v>3.8556000000000004</v>
      </c>
      <c r="O81" s="30">
        <v>21.220042265761919</v>
      </c>
      <c r="P81" s="30">
        <v>2.7242860702426559</v>
      </c>
      <c r="Q81" s="39">
        <v>-3.4268594493460172</v>
      </c>
      <c r="R81" s="120">
        <v>7.992</v>
      </c>
      <c r="S81" s="30">
        <v>4.0103999999999997</v>
      </c>
      <c r="T81" s="30">
        <v>31.375421339963843</v>
      </c>
      <c r="U81" s="30">
        <v>3.9811618618665188</v>
      </c>
      <c r="V81" s="39">
        <v>-3.119070693960091</v>
      </c>
      <c r="W81" s="30">
        <v>7.9060000000000015</v>
      </c>
      <c r="X81" s="30">
        <v>3.6540000000000004</v>
      </c>
      <c r="Y81" s="30">
        <v>40.15396221106905</v>
      </c>
      <c r="Z81" s="30">
        <v>5.1076422494231322</v>
      </c>
      <c r="AA81" s="39">
        <v>-2.9579045649366003</v>
      </c>
      <c r="AB81" s="120">
        <v>8.5584000000000007</v>
      </c>
      <c r="AC81" s="30">
        <v>4.1928000000000001</v>
      </c>
      <c r="AD81" s="30">
        <v>50.294856869585821</v>
      </c>
      <c r="AE81" s="30">
        <v>5.9072409830234873</v>
      </c>
      <c r="AF81" s="39">
        <v>-2.7599048410529816</v>
      </c>
    </row>
    <row r="82">
      <c r="A82" s="42" t="s">
        <v>139</v>
      </c>
      <c r="B82" s="43">
        <v>1</v>
      </c>
      <c r="C82" s="119">
        <v>10.07</v>
      </c>
      <c r="D82" s="30">
        <v>1.7871010034996537</v>
      </c>
      <c r="E82" s="30">
        <v>0.25923938022187631</v>
      </c>
      <c r="F82" s="30">
        <v>0.030354772919094497</v>
      </c>
      <c r="G82" s="30">
        <v>0.030385572872008843</v>
      </c>
      <c r="H82" s="97">
        <v>3.8100000000000001</v>
      </c>
      <c r="I82" s="30">
        <v>2.266</v>
      </c>
      <c r="J82" s="30">
        <v>8.1308326796637047</v>
      </c>
      <c r="K82" s="30">
        <v>2.2538201117460019</v>
      </c>
      <c r="L82" s="30">
        <v>-3.0963853955472134</v>
      </c>
      <c r="M82" s="120">
        <v>2.6012</v>
      </c>
      <c r="N82" s="30">
        <v>1.3868000000000003</v>
      </c>
      <c r="O82" s="30">
        <v>18.631751153451127</v>
      </c>
      <c r="P82" s="30">
        <v>8.5508895067996917</v>
      </c>
      <c r="Q82" s="39">
        <v>-2.1633961270936615</v>
      </c>
      <c r="R82" s="120">
        <v>6.7523999999999997</v>
      </c>
      <c r="S82" s="30">
        <v>4.1880000000000006</v>
      </c>
      <c r="T82" s="30">
        <v>30.917555478765195</v>
      </c>
      <c r="U82" s="30">
        <v>9.394569426406445</v>
      </c>
      <c r="V82" s="39">
        <v>-3.3632274184401729</v>
      </c>
      <c r="W82" s="30">
        <v>2.3700000000000001</v>
      </c>
      <c r="X82" s="30">
        <v>1.3650000000000002</v>
      </c>
      <c r="Y82" s="30">
        <v>37.611573546535318</v>
      </c>
      <c r="Z82" s="30">
        <v>16.971150004853087</v>
      </c>
      <c r="AA82" s="39">
        <v>-1.987377107754517</v>
      </c>
      <c r="AB82" s="120">
        <v>4.8180000000000005</v>
      </c>
      <c r="AC82" s="30">
        <v>2.3652000000000002</v>
      </c>
      <c r="AD82" s="30">
        <v>47.214304536379586</v>
      </c>
      <c r="AE82" s="30">
        <v>14.313511541871538</v>
      </c>
      <c r="AF82" s="39">
        <v>-2.1871477865429649</v>
      </c>
    </row>
    <row r="83">
      <c r="A83" s="42" t="s">
        <v>138</v>
      </c>
      <c r="B83" s="43">
        <v>2</v>
      </c>
      <c r="C83" s="126">
        <v>10.08</v>
      </c>
      <c r="D83" s="30">
        <v>1.1546643406267241</v>
      </c>
      <c r="E83" s="30">
        <v>0.42295687449305713</v>
      </c>
      <c r="F83" s="30">
        <v>0.68265762819075515</v>
      </c>
      <c r="G83" s="30">
        <v>0.68352656523648792</v>
      </c>
      <c r="H83" s="97">
        <v>3.464</v>
      </c>
      <c r="I83" s="30">
        <v>1.5952000000000002</v>
      </c>
      <c r="J83" s="30">
        <v>9.9502452606920055</v>
      </c>
      <c r="K83" s="30">
        <v>2.9075577876246887</v>
      </c>
      <c r="L83" s="30">
        <v>-2.2138054081695855</v>
      </c>
      <c r="M83" s="120">
        <v>3.9012000000000002</v>
      </c>
      <c r="N83" s="30">
        <v>1.8816000000000002</v>
      </c>
      <c r="O83" s="30">
        <v>19.839061981404733</v>
      </c>
      <c r="P83" s="30">
        <v>5.1145262791950872</v>
      </c>
      <c r="Q83" s="39">
        <v>-2.0791550581699143</v>
      </c>
      <c r="R83" s="120">
        <v>4.1627999999999998</v>
      </c>
      <c r="S83" s="30">
        <v>1.9524000000000001</v>
      </c>
      <c r="T83" s="30">
        <v>28.97023681821609</v>
      </c>
      <c r="U83" s="30">
        <v>7.0204640576421102</v>
      </c>
      <c r="V83" s="39">
        <v>-2.195926680408971</v>
      </c>
      <c r="W83" s="30">
        <v>5.6412000000000004</v>
      </c>
      <c r="X83" s="30">
        <v>2.6880000000000002</v>
      </c>
      <c r="Y83" s="30">
        <v>38.747963623129614</v>
      </c>
      <c r="Z83" s="30">
        <v>7.0000257023267949</v>
      </c>
      <c r="AA83" s="39">
        <v>-2.223834443122481</v>
      </c>
      <c r="AB83" s="120">
        <v>6.1620000000000008</v>
      </c>
      <c r="AC83" s="30">
        <v>2.7492000000000001</v>
      </c>
      <c r="AD83" s="30">
        <v>48.064827102540747</v>
      </c>
      <c r="AE83" s="30">
        <v>7.9062969701072543</v>
      </c>
      <c r="AF83" s="39">
        <v>-2.0595952040410426</v>
      </c>
    </row>
    <row r="84">
      <c r="A84" s="42" t="s">
        <v>138</v>
      </c>
      <c r="B84" s="123">
        <v>2</v>
      </c>
      <c r="C84" s="122">
        <v>10.09</v>
      </c>
      <c r="D84" s="30">
        <v>0.66469681099814881</v>
      </c>
      <c r="E84" s="30">
        <v>0.21816043841038729</v>
      </c>
      <c r="F84" s="30">
        <v>0.12864166180744552</v>
      </c>
      <c r="G84" s="30">
        <v>0.12869074919887849</v>
      </c>
      <c r="H84" s="97">
        <v>0.89399999999999991</v>
      </c>
      <c r="I84" s="30">
        <v>0.40799999999999997</v>
      </c>
      <c r="J84" s="30">
        <v>9.1611486335531502</v>
      </c>
      <c r="K84" s="30">
        <v>10.380937039862305</v>
      </c>
      <c r="L84" s="30">
        <v>-1.9288872640825623</v>
      </c>
      <c r="M84" s="120">
        <v>1.8795000000000002</v>
      </c>
      <c r="N84" s="30">
        <v>0.84000000000000008</v>
      </c>
      <c r="O84" s="30">
        <v>19.104994565260167</v>
      </c>
      <c r="P84" s="30">
        <v>10.822749074021013</v>
      </c>
      <c r="Q84" s="39">
        <v>-2.0724236494753843</v>
      </c>
      <c r="R84" s="120">
        <v>1.1275999999999999</v>
      </c>
      <c r="S84" s="30">
        <v>0.52280000000000004</v>
      </c>
      <c r="T84" s="30">
        <v>26.14413117193185</v>
      </c>
      <c r="U84" s="30">
        <v>23.235355466557756</v>
      </c>
      <c r="V84" s="39">
        <v>-1.9978594278483299</v>
      </c>
      <c r="W84" s="30">
        <v>1.1903999999999999</v>
      </c>
      <c r="X84" s="30">
        <v>0.54000000000000004</v>
      </c>
      <c r="Y84" s="30">
        <v>32.94140950718257</v>
      </c>
      <c r="Z84" s="30">
        <v>27.716089033133482</v>
      </c>
      <c r="AA84" s="39">
        <v>-2.0440998365882344</v>
      </c>
      <c r="AB84" s="120">
        <v>1.6452000000000002</v>
      </c>
      <c r="AC84" s="30">
        <v>0.71520000000000006</v>
      </c>
      <c r="AD84" s="30">
        <v>45.742620030665094</v>
      </c>
      <c r="AE84" s="30">
        <v>28.211429618107285</v>
      </c>
      <c r="AF84" s="39">
        <v>-1.9880743710132567</v>
      </c>
    </row>
    <row r="85">
      <c r="A85" s="42" t="s">
        <v>139</v>
      </c>
      <c r="B85" s="43">
        <v>2</v>
      </c>
      <c r="C85" s="119">
        <v>10.1</v>
      </c>
      <c r="D85" s="30">
        <v>0.54602057108146029</v>
      </c>
      <c r="E85" s="30">
        <v>0.58928993016765174</v>
      </c>
      <c r="F85" s="30">
        <v>0.30103679969890607</v>
      </c>
      <c r="G85" s="30">
        <v>0.30131019509913476</v>
      </c>
      <c r="H85" s="97">
        <v>2.5374999999999996</v>
      </c>
      <c r="I85" s="30">
        <v>1.2875000000000001</v>
      </c>
      <c r="J85" s="30">
        <v>9.4451840411700054</v>
      </c>
      <c r="K85" s="30">
        <v>3.7328643199773568</v>
      </c>
      <c r="L85" s="30">
        <v>-2.4029493639532657</v>
      </c>
      <c r="M85" s="120">
        <v>2.7528000000000001</v>
      </c>
      <c r="N85" s="30">
        <v>1.4352</v>
      </c>
      <c r="O85" s="30">
        <v>19.617071984993196</v>
      </c>
      <c r="P85" s="30">
        <v>7.5611222213749656</v>
      </c>
      <c r="Q85" s="39">
        <v>-2.2851145228569649</v>
      </c>
      <c r="R85" s="120">
        <v>3.4296000000000006</v>
      </c>
      <c r="S85" s="30">
        <v>1.5791999999999999</v>
      </c>
      <c r="T85" s="30">
        <v>27.585853761345732</v>
      </c>
      <c r="U85" s="30">
        <v>8.7386953731902697</v>
      </c>
      <c r="V85" s="39">
        <v>-2.2232558617076004</v>
      </c>
      <c r="W85" s="30">
        <v>5.4227999999999996</v>
      </c>
      <c r="X85" s="30">
        <v>2.8176000000000001</v>
      </c>
      <c r="Y85" s="30">
        <v>37.774475996165108</v>
      </c>
      <c r="Z85" s="30">
        <v>7.7593995769164126</v>
      </c>
      <c r="AA85" s="39">
        <v>-2.4613862260972152</v>
      </c>
      <c r="AB85" s="120">
        <v>4.9500000000000011</v>
      </c>
      <c r="AC85" s="30">
        <v>2.2524000000000002</v>
      </c>
      <c r="AD85" s="30">
        <v>46.604066324057591</v>
      </c>
      <c r="AE85" s="30">
        <v>11.703666867470048</v>
      </c>
      <c r="AF85" s="39">
        <v>-2.2152212038795205</v>
      </c>
    </row>
    <row r="86">
      <c r="A86" s="42" t="s">
        <v>138</v>
      </c>
      <c r="B86" s="43">
        <v>2</v>
      </c>
      <c r="C86" s="126">
        <v>10.1</v>
      </c>
      <c r="D86" s="30">
        <v>1.3994384102669122</v>
      </c>
      <c r="E86" s="30">
        <v>0.23600082467373326</v>
      </c>
      <c r="F86" s="30">
        <v>0.53051790501071105</v>
      </c>
      <c r="G86" s="30">
        <v>0.53054758239824074</v>
      </c>
      <c r="H86" s="97">
        <v>2.4420000000000002</v>
      </c>
      <c r="I86" s="30">
        <v>0.91400000000000003</v>
      </c>
      <c r="J86" s="30">
        <v>10.037695492741367</v>
      </c>
      <c r="K86" s="30">
        <v>4.2727788670219837</v>
      </c>
      <c r="L86" s="30">
        <v>-2.1420397804153328</v>
      </c>
      <c r="M86" s="120">
        <v>2.8391999999999999</v>
      </c>
      <c r="N86" s="30">
        <v>1.0944</v>
      </c>
      <c r="O86" s="30">
        <v>19.44789059658688</v>
      </c>
      <c r="P86" s="30">
        <v>6.8533726953755005</v>
      </c>
      <c r="Q86" s="39">
        <v>-2.1919943162065763</v>
      </c>
      <c r="R86" s="120">
        <v>2.9880000000000004</v>
      </c>
      <c r="S86" s="30">
        <v>1.0931999999999999</v>
      </c>
      <c r="T86" s="30">
        <v>28.760718793150932</v>
      </c>
      <c r="U86" s="30">
        <v>9.8395176716679167</v>
      </c>
      <c r="V86" s="39">
        <v>-2.1847872656442835</v>
      </c>
      <c r="W86" s="30">
        <v>3.3720000000000008</v>
      </c>
      <c r="X86" s="30">
        <v>1.278</v>
      </c>
      <c r="Y86" s="30">
        <v>38.076365426828673</v>
      </c>
      <c r="Z86" s="30">
        <v>11.321244849991299</v>
      </c>
      <c r="AA86" s="39">
        <v>-2.1908216215191856</v>
      </c>
      <c r="AB86" s="120">
        <v>3.4608000000000003</v>
      </c>
      <c r="AC86" s="30">
        <v>1.5648</v>
      </c>
      <c r="AD86" s="30">
        <v>46.844683656258837</v>
      </c>
      <c r="AE86" s="30">
        <v>13.591035412637765</v>
      </c>
      <c r="AF86" s="39">
        <v>-2.145792336774385</v>
      </c>
    </row>
    <row r="87">
      <c r="A87" s="42" t="s">
        <v>138</v>
      </c>
      <c r="B87" s="43">
        <v>2</v>
      </c>
      <c r="C87" s="126">
        <v>10.109999999999999</v>
      </c>
      <c r="D87" s="30">
        <v>0.6366073459092626</v>
      </c>
      <c r="E87" s="30">
        <v>0.37019913969730495</v>
      </c>
      <c r="F87" s="30">
        <v>0.36983585732248636</v>
      </c>
      <c r="G87" s="30">
        <v>0.36995810157031594</v>
      </c>
      <c r="H87" s="97">
        <v>1.3648</v>
      </c>
      <c r="I87" s="30">
        <v>0.67480000000000007</v>
      </c>
      <c r="J87" s="30">
        <v>9.2329612899419384</v>
      </c>
      <c r="K87" s="30">
        <v>7.2114780061382886</v>
      </c>
      <c r="L87" s="30">
        <v>-1.9403757895972173</v>
      </c>
      <c r="M87" s="120">
        <v>1.9750000000000001</v>
      </c>
      <c r="N87" s="30">
        <v>1.0098</v>
      </c>
      <c r="O87" s="30">
        <v>18.127907064620267</v>
      </c>
      <c r="P87" s="30">
        <v>9.3311363385982879</v>
      </c>
      <c r="Q87" s="39">
        <v>-2.0676955073496308</v>
      </c>
      <c r="R87" s="120">
        <v>2.2202000000000002</v>
      </c>
      <c r="S87" s="30">
        <v>1.0404</v>
      </c>
      <c r="T87" s="30">
        <v>28.170714468219906</v>
      </c>
      <c r="U87" s="30">
        <v>13.189060235954196</v>
      </c>
      <c r="V87" s="39">
        <v>-2.135141124549587</v>
      </c>
      <c r="W87" s="30">
        <v>2.6775000000000002</v>
      </c>
      <c r="X87" s="30">
        <v>1.2990000000000002</v>
      </c>
      <c r="Y87" s="30">
        <v>37.224442227364811</v>
      </c>
      <c r="Z87" s="30">
        <v>16.093399548593659</v>
      </c>
      <c r="AA87" s="39">
        <v>-2.143820190662904</v>
      </c>
      <c r="AB87" s="120">
        <v>2.3328000000000002</v>
      </c>
      <c r="AC87" s="30">
        <v>1.2876000000000001</v>
      </c>
      <c r="AD87" s="30">
        <v>44.776868508637222</v>
      </c>
      <c r="AE87" s="30">
        <v>19.634130284751247</v>
      </c>
      <c r="AF87" s="39">
        <v>-1.9361828344453411</v>
      </c>
    </row>
    <row r="88">
      <c r="A88" s="52" t="s">
        <v>138</v>
      </c>
      <c r="B88" s="43">
        <v>2</v>
      </c>
      <c r="C88" s="132">
        <v>11</v>
      </c>
      <c r="D88" s="30">
        <v>9.3439809920605637</v>
      </c>
      <c r="E88" s="30">
        <v>-0.31647022940135539</v>
      </c>
      <c r="F88" s="30">
        <v>1</v>
      </c>
      <c r="G88" s="30">
        <v>1</v>
      </c>
      <c r="H88" s="97"/>
      <c r="I88" s="30"/>
      <c r="J88" s="30"/>
      <c r="K88" s="30"/>
      <c r="L88" s="30"/>
      <c r="M88" s="120">
        <v>3.8760000000000003</v>
      </c>
      <c r="N88" s="30">
        <v>1.6620000000000001</v>
      </c>
      <c r="O88" s="30">
        <v>16.126227653316644</v>
      </c>
      <c r="P88" s="30">
        <v>4.1605334502880913</v>
      </c>
      <c r="Q88" s="39">
        <v>-2.8293236332692273</v>
      </c>
      <c r="R88" s="120"/>
      <c r="S88" s="30"/>
      <c r="T88" s="30"/>
      <c r="U88" s="30"/>
      <c r="V88" s="39"/>
      <c r="W88" s="30">
        <v>3.0900000000000003</v>
      </c>
      <c r="X88" s="30">
        <v>1.518</v>
      </c>
      <c r="Y88" s="30">
        <v>33.002163870539071</v>
      </c>
      <c r="Z88" s="30">
        <v>10.680311932213291</v>
      </c>
      <c r="AA88" s="39">
        <v>-2.4005520840502981</v>
      </c>
      <c r="AB88" s="120"/>
      <c r="AC88" s="30"/>
      <c r="AD88" s="30"/>
      <c r="AE88" s="30"/>
      <c r="AF88" s="39"/>
    </row>
    <row r="89">
      <c r="A89" s="43" t="s">
        <v>139</v>
      </c>
      <c r="B89" s="157">
        <v>1</v>
      </c>
      <c r="C89" s="158">
        <v>11</v>
      </c>
      <c r="D89" s="30">
        <v>1.909138938126496</v>
      </c>
      <c r="E89" s="30">
        <v>0.19955237065043221</v>
      </c>
      <c r="F89" s="30">
        <v>0.064474192177135903</v>
      </c>
      <c r="G89" s="30">
        <v>0.064528053910666489</v>
      </c>
      <c r="H89" s="97">
        <v>3.4110000000000005</v>
      </c>
      <c r="I89" s="30">
        <v>2.1509999999999998</v>
      </c>
      <c r="J89" s="30">
        <v>9.4570212460256009</v>
      </c>
      <c r="K89" s="30">
        <v>2.8102283215319215</v>
      </c>
      <c r="L89" s="30">
        <v>-2.2614724235501535</v>
      </c>
      <c r="M89" s="120">
        <v>2.6550000000000002</v>
      </c>
      <c r="N89" s="30">
        <v>1.4100000000000001</v>
      </c>
      <c r="O89" s="30">
        <v>24.812967351313599</v>
      </c>
      <c r="P89" s="30">
        <v>9.5039700878724922</v>
      </c>
      <c r="Q89" s="39">
        <v>-2.5935150601996835</v>
      </c>
      <c r="R89" s="120">
        <v>3.2700000000000005</v>
      </c>
      <c r="S89" s="30">
        <v>1.3109999999999999</v>
      </c>
      <c r="T89" s="30">
        <v>32.972228796039886</v>
      </c>
      <c r="U89" s="30">
        <v>10.098657897835334</v>
      </c>
      <c r="V89" s="39">
        <v>-2.3637718379913562</v>
      </c>
      <c r="W89" s="30">
        <v>3.9180000000000001</v>
      </c>
      <c r="X89" s="30">
        <v>2.1945000000000001</v>
      </c>
      <c r="Y89" s="30">
        <v>44.406458840924159</v>
      </c>
      <c r="Z89" s="30">
        <v>15.907835715135352</v>
      </c>
      <c r="AA89" s="39">
        <v>-2.4802233408799488</v>
      </c>
      <c r="AB89" s="120">
        <v>4.9140000000000006</v>
      </c>
      <c r="AC89" s="30">
        <v>2.7600000000000002</v>
      </c>
      <c r="AD89" s="30">
        <v>52.447408459540007</v>
      </c>
      <c r="AE89" s="30">
        <v>11.505255236854733</v>
      </c>
      <c r="AF89" s="39">
        <v>-2.1944014609056888</v>
      </c>
    </row>
    <row r="90">
      <c r="A90" s="42" t="s">
        <v>139</v>
      </c>
      <c r="B90" s="43">
        <v>1</v>
      </c>
      <c r="C90" s="119">
        <v>11.01</v>
      </c>
      <c r="D90" s="30">
        <v>0.99772109724215452</v>
      </c>
      <c r="E90" s="30">
        <v>0.50039826495472162</v>
      </c>
      <c r="F90" s="30">
        <v>0.49330187828570826</v>
      </c>
      <c r="G90" s="30">
        <v>0.49330664235817961</v>
      </c>
      <c r="H90" s="97">
        <v>3.3283999999999998</v>
      </c>
      <c r="I90" s="30">
        <v>1.8216000000000001</v>
      </c>
      <c r="J90" s="30">
        <v>9.9759274682938646</v>
      </c>
      <c r="K90" s="30">
        <v>3.0697147871823303</v>
      </c>
      <c r="L90" s="30">
        <v>-2.2406177020391942</v>
      </c>
      <c r="M90" s="120">
        <v>3.7464</v>
      </c>
      <c r="N90" s="30">
        <v>2.0268000000000006</v>
      </c>
      <c r="O90" s="30">
        <v>19.094761750877847</v>
      </c>
      <c r="P90" s="30">
        <v>5.1687814914637569</v>
      </c>
      <c r="Q90" s="39">
        <v>-2.6670098708781085</v>
      </c>
      <c r="R90" s="120">
        <v>6.2292000000000005</v>
      </c>
      <c r="S90" s="30">
        <v>3.3780000000000001</v>
      </c>
      <c r="T90" s="30">
        <v>28.660256879448934</v>
      </c>
      <c r="U90" s="30">
        <v>4.8499047034415481</v>
      </c>
      <c r="V90" s="39">
        <v>-2.4884833650785203</v>
      </c>
      <c r="W90" s="30">
        <v>5.5739999999999998</v>
      </c>
      <c r="X90" s="30">
        <v>3.0347999999999997</v>
      </c>
      <c r="Y90" s="30">
        <v>38.165362220743432</v>
      </c>
      <c r="Z90" s="30">
        <v>6.9035427796514224</v>
      </c>
      <c r="AA90" s="39">
        <v>-2.2839075121976982</v>
      </c>
      <c r="AB90" s="120">
        <v>7.0584000000000007</v>
      </c>
      <c r="AC90" s="30">
        <v>3.9048000000000003</v>
      </c>
      <c r="AD90" s="30">
        <v>47.578369097313328</v>
      </c>
      <c r="AE90" s="30">
        <v>7.3591241145717294</v>
      </c>
      <c r="AF90" s="39">
        <v>-2.4794561143448073</v>
      </c>
    </row>
    <row r="91">
      <c r="A91" s="42" t="s">
        <v>139</v>
      </c>
      <c r="B91" s="43">
        <v>1</v>
      </c>
      <c r="C91" s="119">
        <v>11.02</v>
      </c>
      <c r="D91" s="30">
        <v>5.353590205227694</v>
      </c>
      <c r="E91" s="30">
        <v>0.17992082735174178</v>
      </c>
      <c r="F91" s="30">
        <v>0.19017711153150263</v>
      </c>
      <c r="G91" s="30">
        <v>0.19041232152450796</v>
      </c>
      <c r="H91" s="97">
        <v>8.8032000000000004</v>
      </c>
      <c r="I91" s="30">
        <v>5.0736000000000008</v>
      </c>
      <c r="J91" s="30">
        <v>9.8124354644767866</v>
      </c>
      <c r="K91" s="30">
        <v>1.1392197707327674</v>
      </c>
      <c r="L91" s="30">
        <v>-2.3411435783414665</v>
      </c>
      <c r="M91" s="120">
        <v>8.4210000000000012</v>
      </c>
      <c r="N91" s="30">
        <v>4.1265000000000001</v>
      </c>
      <c r="O91" s="30">
        <v>20.105622598019909</v>
      </c>
      <c r="P91" s="30">
        <v>2.4448330070174098</v>
      </c>
      <c r="Q91" s="39">
        <v>-3.2656924184009921</v>
      </c>
      <c r="R91" s="120">
        <v>9.4236000000000004</v>
      </c>
      <c r="S91" s="30">
        <v>4.1028000000000002</v>
      </c>
      <c r="T91" s="30">
        <v>28.965337030829744</v>
      </c>
      <c r="U91" s="30">
        <v>3.3418746723337462</v>
      </c>
      <c r="V91" s="39">
        <v>-3.0365164746424105</v>
      </c>
      <c r="W91" s="30">
        <v>9.2940000000000005</v>
      </c>
      <c r="X91" s="30">
        <v>4.1400000000000006</v>
      </c>
      <c r="Y91" s="30">
        <v>38.414057517759126</v>
      </c>
      <c r="Z91" s="30">
        <v>4.1621015151167802</v>
      </c>
      <c r="AA91" s="39">
        <v>-2.8842831792482118</v>
      </c>
      <c r="AB91" s="120">
        <v>12.043200000000002</v>
      </c>
      <c r="AC91" s="30">
        <v>5.9736000000000002</v>
      </c>
      <c r="AD91" s="30">
        <v>47.737252917324405</v>
      </c>
      <c r="AE91" s="30">
        <v>4.0071535343007927</v>
      </c>
      <c r="AF91" s="39">
        <v>-2.7753431822565546</v>
      </c>
    </row>
    <row r="92">
      <c r="A92" s="42" t="s">
        <v>139</v>
      </c>
      <c r="B92" s="43">
        <v>1</v>
      </c>
      <c r="C92" s="119">
        <v>11.039999999999999</v>
      </c>
      <c r="D92" s="30">
        <v>1.7191185533255979</v>
      </c>
      <c r="E92" s="30">
        <v>0.31488334102401833</v>
      </c>
      <c r="F92" s="30">
        <v>0.65488639075107946</v>
      </c>
      <c r="G92" s="30">
        <v>0.65509209973176052</v>
      </c>
      <c r="H92" s="97">
        <v>3.6864000000000003</v>
      </c>
      <c r="I92" s="30">
        <v>1.8111999999999999</v>
      </c>
      <c r="J92" s="30">
        <v>9.8888757181795537</v>
      </c>
      <c r="K92" s="30">
        <v>2.6971598173629387</v>
      </c>
      <c r="L92" s="30">
        <v>-2.8846175734145287</v>
      </c>
      <c r="M92" s="120">
        <v>4.3956</v>
      </c>
      <c r="N92" s="30">
        <v>2.0784000000000002</v>
      </c>
      <c r="O92" s="30">
        <v>19.14555869680585</v>
      </c>
      <c r="P92" s="30">
        <v>4.3853784541475429</v>
      </c>
      <c r="Q92" s="39">
        <v>-2.7982912872534005</v>
      </c>
      <c r="R92" s="120">
        <v>4.6980000000000004</v>
      </c>
      <c r="S92" s="30">
        <v>2.1468000000000003</v>
      </c>
      <c r="T92" s="30">
        <v>29.078441131478009</v>
      </c>
      <c r="U92" s="30">
        <v>6.1984213022393515</v>
      </c>
      <c r="V92" s="39">
        <v>-2.646751970221783</v>
      </c>
      <c r="W92" s="30">
        <v>5.1204000000000001</v>
      </c>
      <c r="X92" s="30">
        <v>2.4707999999999997</v>
      </c>
      <c r="Y92" s="30">
        <v>38.89997098032147</v>
      </c>
      <c r="Z92" s="30">
        <v>7.6254001354162613</v>
      </c>
      <c r="AA92" s="39">
        <v>-2.3891913554013238</v>
      </c>
      <c r="AB92" s="120">
        <v>6.2232000000000003</v>
      </c>
      <c r="AC92" s="30">
        <v>2.8116000000000003</v>
      </c>
      <c r="AD92" s="30">
        <v>47.783846695103044</v>
      </c>
      <c r="AE92" s="30">
        <v>7.8664868241723225</v>
      </c>
      <c r="AF92" s="39">
        <v>-2.6404826869882299</v>
      </c>
    </row>
    <row r="93">
      <c r="A93" s="42" t="s">
        <v>139</v>
      </c>
      <c r="B93" s="43">
        <v>2</v>
      </c>
      <c r="C93" s="119">
        <v>11.109999999999999</v>
      </c>
      <c r="D93" s="30">
        <v>0.5125312199148444</v>
      </c>
      <c r="E93" s="30">
        <v>0.27145942390695665</v>
      </c>
      <c r="F93" s="30">
        <v>0.53431294721211475</v>
      </c>
      <c r="G93" s="30">
        <v>0.53445624069545339</v>
      </c>
      <c r="H93" s="97">
        <v>0.90559999999999996</v>
      </c>
      <c r="I93" s="30">
        <v>0.48959999999999998</v>
      </c>
      <c r="J93" s="30">
        <v>8.4091753875776689</v>
      </c>
      <c r="K93" s="30">
        <v>9.5533652936805087</v>
      </c>
      <c r="L93" s="30">
        <v>-2.2247252734638652</v>
      </c>
      <c r="M93" s="120">
        <v>0.97440000000000015</v>
      </c>
      <c r="N93" s="30">
        <v>0.53760000000000008</v>
      </c>
      <c r="O93" s="30">
        <v>16.420888597564222</v>
      </c>
      <c r="P93" s="30">
        <v>17.302624352076037</v>
      </c>
      <c r="Q93" s="39">
        <v>-2.0920265356047287</v>
      </c>
      <c r="R93" s="120">
        <v>1.5132000000000001</v>
      </c>
      <c r="S93" s="30">
        <v>0.76680000000000015</v>
      </c>
      <c r="T93" s="30">
        <v>27.590754197497915</v>
      </c>
      <c r="U93" s="30">
        <v>18.271782444061436</v>
      </c>
      <c r="V93" s="39">
        <v>-2.2434338168888908</v>
      </c>
      <c r="W93" s="30">
        <v>1.3548000000000002</v>
      </c>
      <c r="X93" s="30">
        <v>0.69719999999999993</v>
      </c>
      <c r="Y93" s="30">
        <v>36.421146426702379</v>
      </c>
      <c r="Z93" s="30">
        <v>26.91339971174822</v>
      </c>
      <c r="AA93" s="39">
        <v>-2.0621485386285854</v>
      </c>
      <c r="AB93" s="120">
        <v>1.3188</v>
      </c>
      <c r="AC93" s="30">
        <v>0.68159999999999998</v>
      </c>
      <c r="AD93" s="30">
        <v>44.944539543230405</v>
      </c>
      <c r="AE93" s="30">
        <v>34.258392563294436</v>
      </c>
      <c r="AF93" s="39">
        <v>-2.1163803239600179</v>
      </c>
    </row>
    <row r="94">
      <c r="A94" s="42" t="s">
        <v>139</v>
      </c>
      <c r="B94" s="43">
        <v>1</v>
      </c>
      <c r="C94" s="140">
        <v>11.5</v>
      </c>
      <c r="D94" s="30">
        <v>1.0677157926785219</v>
      </c>
      <c r="E94" s="30">
        <v>0.49960309033690864</v>
      </c>
      <c r="F94" s="30">
        <v>0.59026290539481929</v>
      </c>
      <c r="G94" s="30">
        <v>0.59063231001016037</v>
      </c>
      <c r="H94" s="97">
        <v>3.2915999999999999</v>
      </c>
      <c r="I94" s="30">
        <v>1.508</v>
      </c>
      <c r="J94" s="30">
        <v>10.574862082653205</v>
      </c>
      <c r="K94" s="30">
        <v>3.2805332823470059</v>
      </c>
      <c r="L94" s="30">
        <v>-2.5974786190607304</v>
      </c>
      <c r="M94" s="120">
        <v>4.0847999999999995</v>
      </c>
      <c r="N94" s="30">
        <v>2.0016000000000003</v>
      </c>
      <c r="O94" s="30">
        <v>20.035148907673253</v>
      </c>
      <c r="P94" s="30">
        <v>4.9529615191324305</v>
      </c>
      <c r="Q94" s="39">
        <v>-2.5258777790926601</v>
      </c>
      <c r="R94" s="120">
        <v>7.119600000000001</v>
      </c>
      <c r="S94" s="30">
        <v>3.3695999999999997</v>
      </c>
      <c r="T94" s="30">
        <v>29.652847504262787</v>
      </c>
      <c r="U94" s="30">
        <v>4.1966762816315626</v>
      </c>
      <c r="V94" s="39">
        <v>-2.6175449888862183</v>
      </c>
      <c r="W94" s="30">
        <v>6.7356000000000007</v>
      </c>
      <c r="X94" s="30">
        <v>3.024</v>
      </c>
      <c r="Y94" s="30">
        <v>39.289866026491126</v>
      </c>
      <c r="Z94" s="30">
        <v>6.1511005789896149</v>
      </c>
      <c r="AA94" s="39">
        <v>-2.6432801881568335</v>
      </c>
      <c r="AB94" s="120">
        <v>6.8676000000000004</v>
      </c>
      <c r="AC94" s="30">
        <v>3.2208000000000006</v>
      </c>
      <c r="AD94" s="30">
        <v>48.357879365500061</v>
      </c>
      <c r="AE94" s="30">
        <v>7.3235966106050885</v>
      </c>
      <c r="AF94" s="39">
        <v>-2.3877478207942611</v>
      </c>
    </row>
    <row r="95" ht="15">
      <c r="A95" s="62" t="s">
        <v>138</v>
      </c>
      <c r="B95" s="62">
        <v>1</v>
      </c>
      <c r="C95" s="142">
        <v>11.800000000000001</v>
      </c>
      <c r="D95" s="30">
        <v>4.423108013611639</v>
      </c>
      <c r="E95" s="30">
        <v>0.18236559819246717</v>
      </c>
      <c r="F95" s="30">
        <v>0.2046452202973793</v>
      </c>
      <c r="G95" s="30">
        <v>0.20480871263346917</v>
      </c>
      <c r="H95" s="86">
        <v>6.2607999999999997</v>
      </c>
      <c r="I95" s="87">
        <v>3.1696</v>
      </c>
      <c r="J95" s="87">
        <v>10.000471685840424</v>
      </c>
      <c r="K95" s="87">
        <v>1.640935738553559</v>
      </c>
      <c r="L95" s="87">
        <v>-2.7502655006600647</v>
      </c>
      <c r="M95" s="66">
        <v>7.5420000000000016</v>
      </c>
      <c r="N95" s="67">
        <v>3.4319999999999999</v>
      </c>
      <c r="O95" s="67">
        <v>19.575938907961266</v>
      </c>
      <c r="P95" s="67">
        <v>2.6362099943363555</v>
      </c>
      <c r="Q95" s="89">
        <v>-2.7698687119626069</v>
      </c>
      <c r="R95" s="66">
        <v>9.4392000000000014</v>
      </c>
      <c r="S95" s="67">
        <v>4.1063999999999998</v>
      </c>
      <c r="T95" s="67">
        <v>29.052519874704377</v>
      </c>
      <c r="U95" s="67">
        <v>3.2436624147773245</v>
      </c>
      <c r="V95" s="89">
        <v>-2.8382128989092359</v>
      </c>
      <c r="W95" s="67">
        <v>8.5785000000000018</v>
      </c>
      <c r="X95" s="67">
        <v>3.6419999999999999</v>
      </c>
      <c r="Y95" s="67">
        <v>38.02541266520322</v>
      </c>
      <c r="Z95" s="67">
        <v>4.5831979833637817</v>
      </c>
      <c r="AA95" s="89">
        <v>-2.4401013936086109</v>
      </c>
      <c r="AB95" s="66">
        <v>8.2200000000000006</v>
      </c>
      <c r="AC95" s="67">
        <v>3.8543999999999996</v>
      </c>
      <c r="AD95" s="67">
        <v>47.692777415683302</v>
      </c>
      <c r="AE95" s="67">
        <v>5.920099820814106</v>
      </c>
      <c r="AF95" s="89">
        <v>-2.472155604834442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4" activeCellId="0" sqref="A4"/>
    </sheetView>
  </sheetViews>
  <sheetFormatPr baseColWidth="10" defaultRowHeight="14.4"/>
  <cols>
    <col customWidth="1" min="1" max="1" style="43" width="6.33203125"/>
    <col bestFit="1" customWidth="1" min="2" max="2" style="43" width="5.33203125"/>
    <col bestFit="1" customWidth="1" min="3" max="3" width="6"/>
    <col bestFit="1" customWidth="1" min="4" max="5" width="5.33203125"/>
    <col bestFit="1" customWidth="1" min="6" max="6" width="4.5546875"/>
    <col bestFit="1" customWidth="1" min="7" max="7" width="6.88671875"/>
    <col bestFit="1" customWidth="1" min="8" max="8" width="7.6640625"/>
    <col bestFit="1" customWidth="1" min="9" max="9" width="6.88671875"/>
    <col bestFit="1" customWidth="1" min="10" max="10" width="10.33203125"/>
    <col bestFit="1" customWidth="1" min="11" max="11" width="8.5546875"/>
    <col bestFit="1" customWidth="1" min="12" max="12" width="4.5546875"/>
    <col bestFit="1" customWidth="1" min="13" max="13" width="6.5546875"/>
    <col bestFit="1" customWidth="1" min="14" max="14" width="4.5546875"/>
    <col bestFit="1" customWidth="1" min="15" max="17" width="6.109375"/>
    <col bestFit="1" customWidth="1" min="18" max="20" width="7.33203125"/>
    <col bestFit="1" customWidth="1" min="21" max="21" width="6.6640625"/>
    <col bestFit="1" customWidth="1" min="22" max="22" width="9.88671875"/>
    <col bestFit="1" customWidth="1" min="23" max="23" width="10"/>
    <col bestFit="1" customWidth="1" min="24" max="24" width="8.6640625"/>
    <col bestFit="1" customWidth="1" min="25" max="25" width="6.88671875"/>
    <col bestFit="1" customWidth="1" min="26" max="26" width="7.6640625"/>
    <col bestFit="1" customWidth="1" min="27" max="27" width="6.88671875"/>
    <col bestFit="1" customWidth="1" min="28" max="28" width="10.33203125"/>
    <col bestFit="1" customWidth="1" min="29" max="29" width="8.5546875"/>
    <col bestFit="1" customWidth="1" min="30" max="30" width="4.5546875"/>
    <col bestFit="1" customWidth="1" min="31" max="31" width="6.5546875"/>
    <col bestFit="1" customWidth="1" min="32" max="32" width="4.5546875"/>
    <col bestFit="1" customWidth="1" min="33" max="35" width="6.109375"/>
    <col bestFit="1" customWidth="1" min="36" max="38" width="7.33203125"/>
    <col bestFit="1" customWidth="1" min="39" max="39" width="6.6640625"/>
    <col bestFit="1" customWidth="1" min="40" max="40" width="9.88671875"/>
    <col bestFit="1" customWidth="1" min="41" max="41" width="10"/>
    <col bestFit="1" customWidth="1" min="42" max="42" width="8.6640625"/>
    <col bestFit="1" customWidth="1" min="43" max="43" width="6.88671875"/>
    <col bestFit="1" customWidth="1" min="44" max="44" width="7.6640625"/>
    <col bestFit="1" customWidth="1" min="45" max="45" width="6.88671875"/>
    <col bestFit="1" customWidth="1" min="46" max="46" width="10.33203125"/>
    <col bestFit="1" customWidth="1" min="47" max="47" width="8.5546875"/>
    <col bestFit="1" customWidth="1" min="48" max="48" width="4.5546875"/>
    <col bestFit="1" customWidth="1" min="49" max="49" width="6.5546875"/>
    <col bestFit="1" customWidth="1" min="50" max="50" width="4.5546875"/>
    <col bestFit="1" customWidth="1" min="51" max="53" width="6.109375"/>
    <col bestFit="1" customWidth="1" min="54" max="56" width="7.33203125"/>
    <col bestFit="1" customWidth="1" min="57" max="57" width="6.6640625"/>
    <col bestFit="1" customWidth="1" min="58" max="58" width="9.88671875"/>
    <col bestFit="1" customWidth="1" min="59" max="59" width="10"/>
    <col bestFit="1" customWidth="1" min="60" max="60" width="8.6640625"/>
    <col bestFit="1" customWidth="1" min="61" max="61" width="6.88671875"/>
    <col bestFit="1" customWidth="1" min="62" max="62" width="7.6640625"/>
    <col bestFit="1" customWidth="1" min="63" max="63" width="6.88671875"/>
    <col bestFit="1" customWidth="1" min="64" max="64" width="10.33203125"/>
    <col bestFit="1" customWidth="1" min="65" max="65" width="8.5546875"/>
    <col bestFit="1" customWidth="1" min="66" max="66" width="4.5546875"/>
    <col bestFit="1" customWidth="1" min="67" max="67" width="6.5546875"/>
    <col bestFit="1" customWidth="1" min="68" max="68" width="4.5546875"/>
    <col bestFit="1" customWidth="1" min="69" max="71" width="6.109375"/>
    <col bestFit="1" customWidth="1" min="72" max="74" width="7.33203125"/>
    <col bestFit="1" customWidth="1" min="75" max="75" width="6.6640625"/>
    <col bestFit="1" customWidth="1" min="76" max="76" width="9.88671875"/>
    <col bestFit="1" customWidth="1" min="77" max="77" width="10"/>
    <col bestFit="1" customWidth="1" min="78" max="78" width="8.6640625"/>
  </cols>
  <sheetData>
    <row r="1" s="159" customFormat="1" ht="20.25" customHeight="1">
      <c r="A1" s="93" t="s">
        <v>0</v>
      </c>
      <c r="B1" s="143" t="s">
        <v>1</v>
      </c>
      <c r="C1" s="144" t="s">
        <v>2</v>
      </c>
      <c r="D1" s="160" t="s">
        <v>75</v>
      </c>
      <c r="E1" s="161" t="s">
        <v>76</v>
      </c>
      <c r="F1" s="161" t="s">
        <v>48</v>
      </c>
      <c r="G1" s="24" t="s">
        <v>77</v>
      </c>
      <c r="H1" s="24" t="s">
        <v>78</v>
      </c>
      <c r="I1" s="24" t="s">
        <v>79</v>
      </c>
      <c r="J1" s="24" t="s">
        <v>62</v>
      </c>
      <c r="K1" s="24" t="s">
        <v>80</v>
      </c>
      <c r="L1" s="24" t="s">
        <v>140</v>
      </c>
      <c r="M1" s="24" t="s">
        <v>81</v>
      </c>
      <c r="N1" s="24" t="s">
        <v>82</v>
      </c>
      <c r="O1" s="24" t="s">
        <v>83</v>
      </c>
      <c r="P1" s="24" t="s">
        <v>84</v>
      </c>
      <c r="Q1" s="24" t="s">
        <v>85</v>
      </c>
      <c r="R1" s="24" t="s">
        <v>86</v>
      </c>
      <c r="S1" s="24" t="s">
        <v>87</v>
      </c>
      <c r="T1" s="24" t="s">
        <v>88</v>
      </c>
      <c r="U1" s="24" t="s">
        <v>64</v>
      </c>
      <c r="V1" s="24" t="s">
        <v>89</v>
      </c>
      <c r="W1" s="24" t="s">
        <v>90</v>
      </c>
      <c r="X1" s="24" t="s">
        <v>91</v>
      </c>
      <c r="Y1" s="26" t="s">
        <v>92</v>
      </c>
      <c r="Z1" s="24" t="s">
        <v>93</v>
      </c>
      <c r="AA1" s="24" t="s">
        <v>94</v>
      </c>
      <c r="AB1" s="24" t="s">
        <v>67</v>
      </c>
      <c r="AC1" s="24" t="s">
        <v>95</v>
      </c>
      <c r="AD1" s="24" t="s">
        <v>141</v>
      </c>
      <c r="AE1" s="24" t="s">
        <v>96</v>
      </c>
      <c r="AF1" s="24" t="s">
        <v>97</v>
      </c>
      <c r="AG1" s="24" t="s">
        <v>98</v>
      </c>
      <c r="AH1" s="24" t="s">
        <v>99</v>
      </c>
      <c r="AI1" s="24" t="s">
        <v>100</v>
      </c>
      <c r="AJ1" s="24" t="s">
        <v>101</v>
      </c>
      <c r="AK1" s="24" t="s">
        <v>102</v>
      </c>
      <c r="AL1" s="24" t="s">
        <v>103</v>
      </c>
      <c r="AM1" s="24" t="s">
        <v>69</v>
      </c>
      <c r="AN1" s="24" t="s">
        <v>104</v>
      </c>
      <c r="AO1" s="24" t="s">
        <v>105</v>
      </c>
      <c r="AP1" s="24" t="s">
        <v>106</v>
      </c>
      <c r="AQ1" s="24" t="s">
        <v>107</v>
      </c>
      <c r="AR1" s="24" t="s">
        <v>108</v>
      </c>
      <c r="AS1" s="24" t="s">
        <v>109</v>
      </c>
      <c r="AT1" s="24" t="s">
        <v>72</v>
      </c>
      <c r="AU1" s="24" t="s">
        <v>110</v>
      </c>
      <c r="AV1" s="24" t="s">
        <v>142</v>
      </c>
      <c r="AW1" s="24" t="s">
        <v>111</v>
      </c>
      <c r="AX1" s="24" t="s">
        <v>112</v>
      </c>
      <c r="AY1" s="24" t="s">
        <v>113</v>
      </c>
      <c r="AZ1" s="24" t="s">
        <v>114</v>
      </c>
      <c r="BA1" s="24" t="s">
        <v>115</v>
      </c>
      <c r="BB1" s="24" t="s">
        <v>116</v>
      </c>
      <c r="BC1" s="24" t="s">
        <v>117</v>
      </c>
      <c r="BD1" s="24" t="s">
        <v>118</v>
      </c>
      <c r="BE1" s="24" t="s">
        <v>74</v>
      </c>
      <c r="BF1" s="24" t="s">
        <v>119</v>
      </c>
      <c r="BG1" s="24" t="s">
        <v>120</v>
      </c>
      <c r="BH1" s="24" t="s">
        <v>121</v>
      </c>
      <c r="BI1" s="24" t="s">
        <v>122</v>
      </c>
      <c r="BJ1" s="24" t="s">
        <v>123</v>
      </c>
      <c r="BK1" s="24" t="s">
        <v>124</v>
      </c>
      <c r="BL1" s="24" t="s">
        <v>125</v>
      </c>
      <c r="BM1" s="24" t="s">
        <v>126</v>
      </c>
      <c r="BN1" s="24" t="s">
        <v>143</v>
      </c>
      <c r="BO1" s="24" t="s">
        <v>127</v>
      </c>
      <c r="BP1" s="24" t="s">
        <v>144</v>
      </c>
      <c r="BQ1" s="24" t="s">
        <v>128</v>
      </c>
      <c r="BR1" s="24" t="s">
        <v>129</v>
      </c>
      <c r="BS1" s="24" t="s">
        <v>130</v>
      </c>
      <c r="BT1" s="24" t="s">
        <v>131</v>
      </c>
      <c r="BU1" s="24" t="s">
        <v>132</v>
      </c>
      <c r="BV1" s="24" t="s">
        <v>133</v>
      </c>
      <c r="BW1" s="24" t="s">
        <v>134</v>
      </c>
      <c r="BX1" s="24" t="s">
        <v>135</v>
      </c>
      <c r="BY1" s="24" t="s">
        <v>136</v>
      </c>
      <c r="BZ1" s="27" t="s">
        <v>137</v>
      </c>
    </row>
    <row r="2" s="162" customFormat="1">
      <c r="A2" s="28" t="s">
        <v>138</v>
      </c>
      <c r="B2" s="28">
        <v>1</v>
      </c>
      <c r="C2" s="163">
        <v>6</v>
      </c>
      <c r="D2" s="40">
        <v>0.57317474858367423</v>
      </c>
      <c r="E2" s="41">
        <v>1.3715839989461738</v>
      </c>
      <c r="F2" s="41">
        <v>0.36855728983288483</v>
      </c>
      <c r="G2" s="30">
        <v>2.7432499999999997</v>
      </c>
      <c r="H2" s="30">
        <v>2.54</v>
      </c>
      <c r="I2" s="30">
        <v>0.20324999999999999</v>
      </c>
      <c r="J2" s="30">
        <v>9.0766045572592802</v>
      </c>
      <c r="K2" s="30">
        <v>3.6565871216641042</v>
      </c>
      <c r="L2" s="30">
        <v>3</v>
      </c>
      <c r="M2" s="30">
        <v>0.041750000000000002</v>
      </c>
      <c r="N2" s="30">
        <v>3.1131204575955276</v>
      </c>
      <c r="O2" s="30">
        <v>1.3739999999999999</v>
      </c>
      <c r="P2" s="30">
        <v>1.1360000000000001</v>
      </c>
      <c r="Q2" s="30">
        <v>1.1660000000000001</v>
      </c>
      <c r="R2" s="30">
        <v>51.733229134023098</v>
      </c>
      <c r="S2" s="30">
        <v>43.16379285788679</v>
      </c>
      <c r="T2" s="30">
        <v>48.266770865976902</v>
      </c>
      <c r="U2" s="30">
        <v>-1.9213573444463539</v>
      </c>
      <c r="V2" s="30">
        <v>-1.9665927573140425</v>
      </c>
      <c r="W2" s="30">
        <v>0.24105956004553386</v>
      </c>
      <c r="X2" s="30">
        <v>4</v>
      </c>
      <c r="Y2" s="97">
        <v>5.7510000000000003</v>
      </c>
      <c r="Z2" s="30">
        <v>4.5360000000000005</v>
      </c>
      <c r="AA2" s="30">
        <v>1.2150000000000001</v>
      </c>
      <c r="AB2" s="30">
        <v>16.249531051880322</v>
      </c>
      <c r="AC2" s="30">
        <v>3.5823481154938976</v>
      </c>
      <c r="AD2" s="30">
        <v>4</v>
      </c>
      <c r="AE2" s="30">
        <v>0.056250000000000001</v>
      </c>
      <c r="AF2" s="30">
        <v>4.0019739863706247</v>
      </c>
      <c r="AG2" s="30">
        <v>3.3420000000000001</v>
      </c>
      <c r="AH2" s="30">
        <v>4.3500000000000005</v>
      </c>
      <c r="AI2" s="30">
        <v>1.1940000000000004</v>
      </c>
      <c r="AJ2" s="30">
        <v>73.67724867724867</v>
      </c>
      <c r="AK2" s="30">
        <v>95.899470899470899</v>
      </c>
      <c r="AL2" s="30">
        <v>26.322751322751326</v>
      </c>
      <c r="AM2" s="30">
        <v>-1.9209732657906624</v>
      </c>
      <c r="AN2" s="30">
        <v>-2.5821907896984317</v>
      </c>
      <c r="AO2" s="30">
        <v>0.18905544218778583</v>
      </c>
      <c r="AP2" s="30">
        <v>3</v>
      </c>
      <c r="AQ2" s="30">
        <v>3.4540000000000002</v>
      </c>
      <c r="AR2" s="30">
        <v>3.3930000000000002</v>
      </c>
      <c r="AS2" s="30">
        <v>0.061000000000000006</v>
      </c>
      <c r="AT2" s="30">
        <v>8.6576738125553767</v>
      </c>
      <c r="AU2" s="30">
        <v>2.5517308362859596</v>
      </c>
      <c r="AV2" s="30">
        <v>5</v>
      </c>
      <c r="AW2" s="30">
        <v>0.061000000000000013</v>
      </c>
      <c r="AX2" s="30">
        <v>5.1010913634428157</v>
      </c>
      <c r="AY2" s="30">
        <v>2.0009999999999999</v>
      </c>
      <c r="AZ2" s="30">
        <v>0.98100000000000021</v>
      </c>
      <c r="BA2" s="30">
        <v>1.3920000000000003</v>
      </c>
      <c r="BB2" s="30">
        <v>58.789620853377038</v>
      </c>
      <c r="BC2" s="30">
        <v>28.85386496850349</v>
      </c>
      <c r="BD2" s="30">
        <v>41.210379146622969</v>
      </c>
      <c r="BE2" s="30">
        <v>-2.1061558415279173</v>
      </c>
      <c r="BF2" s="30">
        <v>-2.2230980689330777</v>
      </c>
      <c r="BG2" s="30">
        <v>0.078874985143789711</v>
      </c>
      <c r="BH2" s="30">
        <v>3.5</v>
      </c>
      <c r="BI2" s="30">
        <v>4.9633333333333338</v>
      </c>
      <c r="BJ2" s="30">
        <v>4.7166666666666668</v>
      </c>
      <c r="BK2" s="30">
        <v>0.24666666666666662</v>
      </c>
      <c r="BL2" s="30">
        <v>18.386673834351893</v>
      </c>
      <c r="BM2" s="30">
        <v>3.9501228471550234</v>
      </c>
      <c r="BN2" s="30">
        <v>6</v>
      </c>
      <c r="BO2" s="30">
        <v>0.05874999999999999</v>
      </c>
      <c r="BP2" s="30">
        <v>6.0847438143471626</v>
      </c>
      <c r="BQ2" s="30">
        <v>3.0180000000000002</v>
      </c>
      <c r="BR2" s="30">
        <v>2.7093333333333334</v>
      </c>
      <c r="BS2" s="30">
        <v>1.6986666666666668</v>
      </c>
      <c r="BT2" s="30">
        <v>62.96899365604154</v>
      </c>
      <c r="BU2" s="30">
        <v>55.182548648437965</v>
      </c>
      <c r="BV2" s="30">
        <v>37.03100634395846</v>
      </c>
      <c r="BW2" s="30">
        <v>-2.0482928031347662</v>
      </c>
      <c r="BX2" s="30">
        <v>-2.3498623513434307</v>
      </c>
      <c r="BY2" s="30">
        <v>0.32447397076105378</v>
      </c>
      <c r="BZ2" s="30">
        <v>6.5</v>
      </c>
    </row>
    <row r="3">
      <c r="A3" s="42" t="s">
        <v>139</v>
      </c>
      <c r="B3" s="43">
        <v>1</v>
      </c>
      <c r="C3" s="119">
        <v>6</v>
      </c>
      <c r="D3" s="120">
        <v>0.2834217052761322</v>
      </c>
      <c r="E3" s="30">
        <v>0.4297012659508414</v>
      </c>
      <c r="F3" s="30">
        <v>0.62955702350093268</v>
      </c>
      <c r="G3" s="30">
        <v>1.2830000000000001</v>
      </c>
      <c r="H3" s="30">
        <v>0.85050000000000003</v>
      </c>
      <c r="I3" s="30">
        <v>0.4325</v>
      </c>
      <c r="J3" s="30">
        <v>8.3578386189217593</v>
      </c>
      <c r="K3" s="30">
        <v>9.8471799580888426</v>
      </c>
      <c r="L3" s="30">
        <v>3</v>
      </c>
      <c r="M3" s="30">
        <v>0.05800000000000001</v>
      </c>
      <c r="N3" s="30">
        <v>3.0398379341850723</v>
      </c>
      <c r="O3" s="30">
        <v>0.36900000000000005</v>
      </c>
      <c r="P3" s="30">
        <v>0.23250000000000001</v>
      </c>
      <c r="Q3" s="30">
        <v>0.48150000000000004</v>
      </c>
      <c r="R3" s="30">
        <v>43.21884638261939</v>
      </c>
      <c r="S3" s="30">
        <v>27.686204646017842</v>
      </c>
      <c r="T3" s="30">
        <v>56.78115361738061</v>
      </c>
      <c r="U3" s="30">
        <v>-1.7284573321977681</v>
      </c>
      <c r="V3" s="30">
        <v>-1.5654844392455156</v>
      </c>
      <c r="W3" s="30">
        <v>0.12475033766828725</v>
      </c>
      <c r="X3" s="30">
        <v>1.25</v>
      </c>
      <c r="Y3" s="97">
        <v>1.6037500000000002</v>
      </c>
      <c r="Z3" s="30">
        <v>1.4139999999999999</v>
      </c>
      <c r="AA3" s="30">
        <v>0.34675</v>
      </c>
      <c r="AB3" s="30">
        <v>16.900528616621003</v>
      </c>
      <c r="AC3" s="30">
        <v>12.409318612403396</v>
      </c>
      <c r="AD3" s="30">
        <v>4</v>
      </c>
      <c r="AE3" s="30">
        <v>0.056749999999999988</v>
      </c>
      <c r="AF3" s="30">
        <v>4.0751346208900889</v>
      </c>
      <c r="AG3" s="30">
        <v>0.57899999999999996</v>
      </c>
      <c r="AH3" s="30">
        <v>0.39600000000000002</v>
      </c>
      <c r="AI3" s="30">
        <v>0.73799999999999999</v>
      </c>
      <c r="AJ3" s="30">
        <v>44.761065186262144</v>
      </c>
      <c r="AK3" s="30">
        <v>26.787557281022004</v>
      </c>
      <c r="AL3" s="30">
        <v>55.238934813737856</v>
      </c>
      <c r="AM3" s="30">
        <v>-1.7138080732311791</v>
      </c>
      <c r="AN3" s="30">
        <v>-1.7243843056633996</v>
      </c>
      <c r="AO3" s="30">
        <v>0.32057259807471361</v>
      </c>
      <c r="AP3" s="30">
        <v>1.25</v>
      </c>
      <c r="AQ3" s="30">
        <v>1.8340000000000003</v>
      </c>
      <c r="AR3" s="30">
        <v>1.494</v>
      </c>
      <c r="AS3" s="30">
        <v>0.313</v>
      </c>
      <c r="AT3" s="30">
        <v>8.9682486544144702</v>
      </c>
      <c r="AU3" s="30">
        <v>6.0028438115224034</v>
      </c>
      <c r="AV3" s="30">
        <v>5</v>
      </c>
      <c r="AW3" s="30">
        <v>0.051500000000000004</v>
      </c>
      <c r="AX3" s="30">
        <v>5.1573351366990394</v>
      </c>
      <c r="AY3" s="30">
        <v>0.55800000000000005</v>
      </c>
      <c r="AZ3" s="30">
        <v>0.30299999999999999</v>
      </c>
      <c r="BA3" s="30">
        <v>0.97199999999999998</v>
      </c>
      <c r="BB3" s="30">
        <v>36.655926029700197</v>
      </c>
      <c r="BC3" s="30">
        <v>19.769776781544785</v>
      </c>
      <c r="BD3" s="30">
        <v>63.344073970299803</v>
      </c>
      <c r="BE3" s="30">
        <v>-1.7377236222660166</v>
      </c>
      <c r="BF3" s="30">
        <v>-1.7569078943572582</v>
      </c>
      <c r="BG3" s="30">
        <v>0.22952165365537916</v>
      </c>
      <c r="BH3" s="30">
        <v>3.5</v>
      </c>
      <c r="BI3" s="30">
        <v>2.2150000000000003</v>
      </c>
      <c r="BJ3" s="30">
        <v>1.6680000000000001</v>
      </c>
      <c r="BK3" s="30">
        <v>0.54700000000000004</v>
      </c>
      <c r="BL3" s="30">
        <v>17.289256078965593</v>
      </c>
      <c r="BM3" s="30">
        <v>10.365261438228773</v>
      </c>
      <c r="BN3" s="30">
        <v>6</v>
      </c>
      <c r="BO3" s="30">
        <v>0.042750000000000003</v>
      </c>
      <c r="BP3" s="30">
        <v>6.0906425237281221</v>
      </c>
      <c r="BQ3" s="30">
        <v>0.81000000000000005</v>
      </c>
      <c r="BR3" s="30">
        <v>0.34800000000000003</v>
      </c>
      <c r="BS3" s="30">
        <v>0.8580000000000001</v>
      </c>
      <c r="BT3" s="30">
        <v>48.561151079136685</v>
      </c>
      <c r="BU3" s="30">
        <v>20.863309352517987</v>
      </c>
      <c r="BV3" s="30">
        <v>51.438848920863315</v>
      </c>
      <c r="BW3" s="30">
        <v>-1.6516608729263709</v>
      </c>
      <c r="BX3" s="30">
        <v>-1.9239845228163119</v>
      </c>
      <c r="BY3" s="30">
        <v>0.12824018335359788</v>
      </c>
      <c r="BZ3" s="30">
        <v>1</v>
      </c>
    </row>
    <row r="4" s="162" customFormat="1">
      <c r="A4" s="52" t="s">
        <v>138</v>
      </c>
      <c r="B4" s="47">
        <v>1</v>
      </c>
      <c r="C4" s="164">
        <v>6</v>
      </c>
      <c r="D4" s="165">
        <v>0.22603143038686485</v>
      </c>
      <c r="E4" s="49">
        <v>0.7396339937394184</v>
      </c>
      <c r="F4" s="49">
        <v>0.22103405160134726</v>
      </c>
      <c r="G4" s="30">
        <v>1.5020000000000002</v>
      </c>
      <c r="H4" s="30">
        <v>0.88800000000000023</v>
      </c>
      <c r="I4" s="30">
        <v>0.60050000000000003</v>
      </c>
      <c r="J4" s="30">
        <v>9.151101388401532</v>
      </c>
      <c r="K4" s="30">
        <v>11.941176141564993</v>
      </c>
      <c r="L4" s="30">
        <v>3</v>
      </c>
      <c r="M4" s="30">
        <v>0.064000000000000001</v>
      </c>
      <c r="N4" s="30">
        <v>3.2108202879829006</v>
      </c>
      <c r="O4" s="30">
        <v>0.35249999999999998</v>
      </c>
      <c r="P4" s="30">
        <v>0.19350000000000001</v>
      </c>
      <c r="Q4" s="30">
        <v>0.49200000000000005</v>
      </c>
      <c r="R4" s="30">
        <v>39.808386411889593</v>
      </c>
      <c r="S4" s="30">
        <v>21.365236137719116</v>
      </c>
      <c r="T4" s="30">
        <v>60.1916135881104</v>
      </c>
      <c r="U4" s="30">
        <v>-1.6470818738056558</v>
      </c>
      <c r="V4" s="30">
        <v>-1.5120032604945908</v>
      </c>
      <c r="W4" s="30">
        <v>0.14386837081691506</v>
      </c>
      <c r="X4" s="30">
        <v>1</v>
      </c>
      <c r="Y4" s="97">
        <v>1.48675</v>
      </c>
      <c r="Z4" s="30">
        <v>0.99450000000000005</v>
      </c>
      <c r="AA4" s="30">
        <v>0.49225000000000002</v>
      </c>
      <c r="AB4" s="30">
        <v>17.380332170994418</v>
      </c>
      <c r="AC4" s="30">
        <v>17.943771459941789</v>
      </c>
      <c r="AD4" s="30">
        <v>4</v>
      </c>
      <c r="AE4" s="30">
        <v>0.053750000000000006</v>
      </c>
      <c r="AF4" s="30">
        <v>4.1107999054153552</v>
      </c>
      <c r="AG4" s="30">
        <v>0.40200000000000002</v>
      </c>
      <c r="AH4" s="30">
        <v>0.13200000000000001</v>
      </c>
      <c r="AI4" s="30">
        <v>0.59250000000000003</v>
      </c>
      <c r="AJ4" s="30">
        <v>42.047427658793438</v>
      </c>
      <c r="AK4" s="30">
        <v>12.95069900172598</v>
      </c>
      <c r="AL4" s="30">
        <v>57.952572341206562</v>
      </c>
      <c r="AM4" s="30">
        <v>-1.6175847220998456</v>
      </c>
      <c r="AN4" s="30">
        <v>-1.6624488869589116</v>
      </c>
      <c r="AO4" s="30">
        <v>0.16896677827123185</v>
      </c>
      <c r="AP4" s="30">
        <v>0.75</v>
      </c>
      <c r="AQ4" s="30">
        <v>2.1710000000000003</v>
      </c>
      <c r="AR4" s="30">
        <v>1.3380000000000001</v>
      </c>
      <c r="AS4" s="30">
        <v>0.77300000000000002</v>
      </c>
      <c r="AT4" s="30">
        <v>9.7937220121454764</v>
      </c>
      <c r="AU4" s="30">
        <v>7.5903897288781401</v>
      </c>
      <c r="AV4" s="30">
        <v>5</v>
      </c>
      <c r="AW4" s="30">
        <v>0.050500000000000003</v>
      </c>
      <c r="AX4" s="30">
        <v>5.1655973797321018</v>
      </c>
      <c r="AY4" s="30">
        <v>0.30600000000000005</v>
      </c>
      <c r="AZ4" s="30">
        <v>0.14700000000000002</v>
      </c>
      <c r="BA4" s="30">
        <v>0.97400000000000009</v>
      </c>
      <c r="BB4" s="30">
        <v>21.364860804967151</v>
      </c>
      <c r="BC4" s="30">
        <v>10.28095114629598</v>
      </c>
      <c r="BD4" s="30">
        <v>78.635139195032849</v>
      </c>
      <c r="BE4" s="30">
        <v>-1.8808305734341217</v>
      </c>
      <c r="BF4" s="30">
        <v>-1.4957445854199527</v>
      </c>
      <c r="BG4" s="30">
        <v>0.20195550826490619</v>
      </c>
      <c r="BH4" s="30">
        <v>3</v>
      </c>
      <c r="BI4" s="30">
        <v>1.9927500000000002</v>
      </c>
      <c r="BJ4" s="30">
        <v>1.242</v>
      </c>
      <c r="BK4" s="30">
        <v>0.75075000000000003</v>
      </c>
      <c r="BL4" s="30">
        <v>17.38934824447697</v>
      </c>
      <c r="BM4" s="30">
        <v>14.466371355880449</v>
      </c>
      <c r="BN4" s="30">
        <v>6</v>
      </c>
      <c r="BO4" s="30">
        <v>0.069750000000000006</v>
      </c>
      <c r="BP4" s="30">
        <v>6.067564909394898</v>
      </c>
      <c r="BQ4" s="30">
        <v>0.33150000000000002</v>
      </c>
      <c r="BR4" s="30">
        <v>0.10950000000000001</v>
      </c>
      <c r="BS4" s="30">
        <v>0.91050000000000009</v>
      </c>
      <c r="BT4" s="30">
        <v>27.377329075809723</v>
      </c>
      <c r="BU4" s="30">
        <v>8.8897242473076528</v>
      </c>
      <c r="BV4" s="30">
        <v>72.62267092419026</v>
      </c>
      <c r="BW4" s="30">
        <v>-1.5835507392404478</v>
      </c>
      <c r="BX4" s="30">
        <v>-1.6747050016057294</v>
      </c>
      <c r="BY4" s="30">
        <v>0.36863897032989712</v>
      </c>
      <c r="BZ4" s="30">
        <v>2.25</v>
      </c>
    </row>
    <row r="5">
      <c r="A5" s="42" t="s">
        <v>139</v>
      </c>
      <c r="B5" s="43">
        <v>2</v>
      </c>
      <c r="C5" s="119">
        <v>6.0199999999999996</v>
      </c>
      <c r="D5" s="120">
        <v>0.34813845565380958</v>
      </c>
      <c r="E5" s="30">
        <v>0.093339705723370067</v>
      </c>
      <c r="F5" s="30">
        <v>0.2280429788002839</v>
      </c>
      <c r="G5" s="30">
        <v>0.95300000000000018</v>
      </c>
      <c r="H5" s="30">
        <v>0.63400000000000001</v>
      </c>
      <c r="I5" s="30">
        <v>0.31900000000000001</v>
      </c>
      <c r="J5" s="30">
        <v>9.6365501031237972</v>
      </c>
      <c r="K5" s="30">
        <v>17.16244525791436</v>
      </c>
      <c r="L5" s="30">
        <v>3</v>
      </c>
      <c r="M5" s="30">
        <v>0.0389375</v>
      </c>
      <c r="N5" s="30">
        <v>3.2064644188874887</v>
      </c>
      <c r="O5" s="30">
        <v>0.20799999999999999</v>
      </c>
      <c r="P5" s="30">
        <v>0.090000000000000011</v>
      </c>
      <c r="Q5" s="30">
        <v>0.42599999999999999</v>
      </c>
      <c r="R5" s="30">
        <v>37.521090982861558</v>
      </c>
      <c r="S5" s="30">
        <v>15.23133097886673</v>
      </c>
      <c r="T5" s="30">
        <v>62.478909017138442</v>
      </c>
      <c r="U5" s="30">
        <v>-1.6206060637660054</v>
      </c>
      <c r="V5" s="30">
        <v>-1.4223893674789168</v>
      </c>
      <c r="W5" s="30">
        <v>0.12441699041720311</v>
      </c>
      <c r="X5" s="30">
        <v>0.44444444444444442</v>
      </c>
      <c r="Y5" s="97">
        <v>1.3920000000000001</v>
      </c>
      <c r="Z5" s="30">
        <v>1.1339999999999999</v>
      </c>
      <c r="AA5" s="30">
        <v>0.25800000000000001</v>
      </c>
      <c r="AB5" s="30">
        <v>16.999671851582423</v>
      </c>
      <c r="AC5" s="30">
        <v>15.071715616801706</v>
      </c>
      <c r="AD5" s="30">
        <v>4</v>
      </c>
      <c r="AE5" s="30">
        <v>0.040250000000000001</v>
      </c>
      <c r="AF5" s="30">
        <v>4.0823202212180085</v>
      </c>
      <c r="AG5" s="30">
        <v>0.47100000000000003</v>
      </c>
      <c r="AH5" s="30">
        <v>0.20099999999999998</v>
      </c>
      <c r="AI5" s="30">
        <v>0.66300000000000003</v>
      </c>
      <c r="AJ5" s="30">
        <v>41.901477832512313</v>
      </c>
      <c r="AK5" s="30">
        <v>17.645320197044335</v>
      </c>
      <c r="AL5" s="30">
        <v>58.098522167487687</v>
      </c>
      <c r="AM5" s="30">
        <v>-1.6468701583710512</v>
      </c>
      <c r="AN5" s="30">
        <v>-1.6434369481275946</v>
      </c>
      <c r="AO5" s="30">
        <v>0.16026405598046312</v>
      </c>
      <c r="AP5" s="30">
        <v>1.5</v>
      </c>
      <c r="AQ5" s="30">
        <v>2.635333333333334</v>
      </c>
      <c r="AR5" s="30">
        <v>0.83400000000000007</v>
      </c>
      <c r="AS5" s="30">
        <v>1.6713333333333338</v>
      </c>
      <c r="AT5" s="30">
        <v>8.6819511505263822</v>
      </c>
      <c r="AU5" s="30">
        <v>10.957545548074426</v>
      </c>
      <c r="AV5" s="30">
        <v>5</v>
      </c>
      <c r="AW5" s="30">
        <v>0.047750000000000001</v>
      </c>
      <c r="AX5" s="30">
        <v>5.16165604422158</v>
      </c>
      <c r="AY5" s="30">
        <v>0.39800000000000008</v>
      </c>
      <c r="AZ5" s="30">
        <v>0.26200000000000001</v>
      </c>
      <c r="BA5" s="30">
        <v>0.53400000000000003</v>
      </c>
      <c r="BB5" s="30">
        <v>40.668028013924463</v>
      </c>
      <c r="BC5" s="30">
        <v>26.151433222585037</v>
      </c>
      <c r="BD5" s="30">
        <v>59.331971986075537</v>
      </c>
      <c r="BE5" s="30">
        <v>-1.5728324862954322</v>
      </c>
      <c r="BF5" s="30">
        <v>-1.5299549856700103</v>
      </c>
      <c r="BG5" s="30">
        <v>0.10283964644236576</v>
      </c>
      <c r="BH5" s="30">
        <v>1.3333333333333333</v>
      </c>
      <c r="BI5" s="30">
        <v>1.6025</v>
      </c>
      <c r="BJ5" s="30">
        <v>1.2000000000000002</v>
      </c>
      <c r="BK5" s="30">
        <v>0.47449999999999998</v>
      </c>
      <c r="BL5" s="30">
        <v>16.869151466181524</v>
      </c>
      <c r="BM5" s="30">
        <v>14.057626221817934</v>
      </c>
      <c r="BN5" s="30">
        <v>6</v>
      </c>
      <c r="BO5" s="30">
        <v>0.057250000000000002</v>
      </c>
      <c r="BP5" s="30">
        <v>6.0991199674299237</v>
      </c>
      <c r="BQ5" s="30">
        <v>0.56400000000000006</v>
      </c>
      <c r="BR5" s="30">
        <v>0.27900000000000003</v>
      </c>
      <c r="BS5" s="30">
        <v>0.48000000000000009</v>
      </c>
      <c r="BT5" s="30">
        <v>49.31818181818182</v>
      </c>
      <c r="BU5" s="30">
        <v>24.10227272727273</v>
      </c>
      <c r="BV5" s="30">
        <v>50.68181818181818</v>
      </c>
      <c r="BW5" s="30">
        <v>-1.6773264930989917</v>
      </c>
      <c r="BX5" s="30">
        <v>-1.6615381607799626</v>
      </c>
      <c r="BY5" s="30">
        <v>0.11070633267036745</v>
      </c>
      <c r="BZ5" s="30">
        <v>0.5</v>
      </c>
    </row>
    <row r="6" s="162" customFormat="1">
      <c r="A6" s="52" t="s">
        <v>138</v>
      </c>
      <c r="B6" s="51">
        <v>2</v>
      </c>
      <c r="C6" s="164">
        <v>6.0199999999999996</v>
      </c>
      <c r="D6" s="165">
        <v>0.17419498630158514</v>
      </c>
      <c r="E6" s="49">
        <v>1.1317538807758094</v>
      </c>
      <c r="F6" s="49">
        <v>0.18592649103029513</v>
      </c>
      <c r="G6" s="30">
        <v>1.4397500000000001</v>
      </c>
      <c r="H6" s="30">
        <v>0.85950000000000004</v>
      </c>
      <c r="I6" s="30">
        <v>0.58024999999999993</v>
      </c>
      <c r="J6" s="30">
        <v>7.7926847943156456</v>
      </c>
      <c r="K6" s="30">
        <v>9.3463925753199657</v>
      </c>
      <c r="L6" s="30">
        <v>3</v>
      </c>
      <c r="M6" s="30">
        <v>0.05425</v>
      </c>
      <c r="N6" s="30">
        <v>2.9581993808994831</v>
      </c>
      <c r="O6" s="30">
        <v>0.318</v>
      </c>
      <c r="P6" s="30">
        <v>0.16500000000000001</v>
      </c>
      <c r="Q6" s="30">
        <v>0.54150000000000009</v>
      </c>
      <c r="R6" s="30">
        <v>36.794949615655852</v>
      </c>
      <c r="S6" s="30">
        <v>19.876628291096669</v>
      </c>
      <c r="T6" s="30">
        <v>63.205050384344148</v>
      </c>
      <c r="U6" s="30">
        <v>-1.5250576050548386</v>
      </c>
      <c r="V6" s="30">
        <v>-1.5046237073945028</v>
      </c>
      <c r="W6" s="30">
        <v>0.056441026157602062</v>
      </c>
      <c r="X6" s="30">
        <v>0.25</v>
      </c>
      <c r="Y6" s="97">
        <v>2.3109999999999999</v>
      </c>
      <c r="Z6" s="30">
        <v>1.7280000000000002</v>
      </c>
      <c r="AA6" s="30">
        <v>0.58300000000000007</v>
      </c>
      <c r="AB6" s="30">
        <v>16.647116228407814</v>
      </c>
      <c r="AC6" s="30">
        <v>11.177186510896384</v>
      </c>
      <c r="AD6" s="30">
        <v>4</v>
      </c>
      <c r="AE6" s="30">
        <v>0.032000000000000001</v>
      </c>
      <c r="AF6" s="30">
        <v>4.0469773039524588</v>
      </c>
      <c r="AG6" s="30">
        <v>0.44699999999999995</v>
      </c>
      <c r="AH6" s="30">
        <v>0.19800000000000001</v>
      </c>
      <c r="AI6" s="30">
        <v>1.2810000000000001</v>
      </c>
      <c r="AJ6" s="30">
        <v>31.83951788224266</v>
      </c>
      <c r="AK6" s="30">
        <v>14.046257729615004</v>
      </c>
      <c r="AL6" s="30">
        <v>68.16048211775734</v>
      </c>
      <c r="AM6" s="30">
        <v>-1.6796357606398515</v>
      </c>
      <c r="AN6" s="30">
        <v>-1.5905265773137907</v>
      </c>
      <c r="AO6" s="30">
        <v>0.15301834087687455</v>
      </c>
      <c r="AP6" s="30">
        <v>2.5</v>
      </c>
      <c r="AQ6" s="30">
        <v>1.70675</v>
      </c>
      <c r="AR6" s="30">
        <v>1.1475000000000002</v>
      </c>
      <c r="AS6" s="30">
        <v>0.55925000000000002</v>
      </c>
      <c r="AT6" s="30">
        <v>8.7185747115034928</v>
      </c>
      <c r="AU6" s="30">
        <v>7.6143698112868794</v>
      </c>
      <c r="AV6" s="30">
        <v>5</v>
      </c>
      <c r="AW6" s="30">
        <v>0.054250000000000007</v>
      </c>
      <c r="AX6" s="30">
        <v>5.1171215336564755</v>
      </c>
      <c r="AY6" s="30">
        <v>0.53549999999999998</v>
      </c>
      <c r="AZ6" s="30">
        <v>0.126</v>
      </c>
      <c r="BA6" s="30">
        <v>0.6120000000000001</v>
      </c>
      <c r="BB6" s="30">
        <v>46.338605294247472</v>
      </c>
      <c r="BC6" s="30">
        <v>10.924832634444201</v>
      </c>
      <c r="BD6" s="30">
        <v>53.661394705752528</v>
      </c>
      <c r="BE6" s="30">
        <v>-1.5880733682035328</v>
      </c>
      <c r="BF6" s="30">
        <v>-1.6871234435157576</v>
      </c>
      <c r="BG6" s="30">
        <v>0.069078213740631472</v>
      </c>
      <c r="BH6" s="30">
        <v>0.75</v>
      </c>
      <c r="BI6" s="30">
        <v>2.2405000000000004</v>
      </c>
      <c r="BJ6" s="30">
        <v>1.6125</v>
      </c>
      <c r="BK6" s="30">
        <v>0.62799999999999989</v>
      </c>
      <c r="BL6" s="30">
        <v>17.075273297956009</v>
      </c>
      <c r="BM6" s="30">
        <v>10.672793430274009</v>
      </c>
      <c r="BN6" s="30">
        <v>6</v>
      </c>
      <c r="BO6" s="30">
        <v>0.042499999999999996</v>
      </c>
      <c r="BP6" s="30">
        <v>6.0813512907077181</v>
      </c>
      <c r="BQ6" s="30">
        <v>0.45750000000000002</v>
      </c>
      <c r="BR6" s="30">
        <v>0.1905</v>
      </c>
      <c r="BS6" s="30">
        <v>1.155</v>
      </c>
      <c r="BT6" s="30">
        <v>28.883963721823356</v>
      </c>
      <c r="BU6" s="30">
        <v>11.99190398418528</v>
      </c>
      <c r="BV6" s="30">
        <v>71.116036278176637</v>
      </c>
      <c r="BW6" s="30">
        <v>-1.51949488050874</v>
      </c>
      <c r="BX6" s="30">
        <v>-1.6277714642061567</v>
      </c>
      <c r="BY6" s="30">
        <v>0.13267405168513133</v>
      </c>
      <c r="BZ6" s="30">
        <v>3</v>
      </c>
    </row>
    <row r="7">
      <c r="A7" s="42" t="s">
        <v>139</v>
      </c>
      <c r="B7" s="43">
        <v>2</v>
      </c>
      <c r="C7" s="119">
        <v>6.0300000000000002</v>
      </c>
      <c r="D7" s="120">
        <v>0.39155503389850022</v>
      </c>
      <c r="E7" s="30">
        <v>0.55281037711680325</v>
      </c>
      <c r="F7" s="30">
        <v>0.13352869369542653</v>
      </c>
      <c r="G7" s="30">
        <v>1.4390000000000001</v>
      </c>
      <c r="H7" s="30">
        <v>1.4355</v>
      </c>
      <c r="I7" s="30">
        <v>0.0034999999999999996</v>
      </c>
      <c r="J7" s="30">
        <v>7.8573625773153255</v>
      </c>
      <c r="K7" s="30">
        <v>6.3162668914243358</v>
      </c>
      <c r="L7" s="30">
        <v>3</v>
      </c>
      <c r="M7" s="30">
        <v>0.031000000000000007</v>
      </c>
      <c r="N7" s="30">
        <v>2.9623371201644559</v>
      </c>
      <c r="O7" s="30">
        <v>0.60150000000000003</v>
      </c>
      <c r="P7" s="30">
        <v>0.40049999999999997</v>
      </c>
      <c r="Q7" s="30">
        <v>0.83399999999999996</v>
      </c>
      <c r="R7" s="30">
        <v>39.074971655328795</v>
      </c>
      <c r="S7" s="30">
        <v>21.336818236066357</v>
      </c>
      <c r="T7" s="30">
        <v>60.925028344671205</v>
      </c>
      <c r="U7" s="30">
        <v>-1.8497787738319058</v>
      </c>
      <c r="V7" s="30">
        <v>-1.8725078343336257</v>
      </c>
      <c r="W7" s="30">
        <v>0.26435909278186887</v>
      </c>
      <c r="X7" s="30">
        <v>3</v>
      </c>
      <c r="Y7" s="97">
        <v>2.8365</v>
      </c>
      <c r="Z7" s="30">
        <v>2.673</v>
      </c>
      <c r="AA7" s="30">
        <v>0.16350000000000003</v>
      </c>
      <c r="AB7" s="30">
        <v>17.086335996737009</v>
      </c>
      <c r="AC7" s="30">
        <v>9.3685012764673221</v>
      </c>
      <c r="AD7" s="30">
        <v>4</v>
      </c>
      <c r="AE7" s="30">
        <v>0.030000000000000006</v>
      </c>
      <c r="AF7" s="30">
        <v>4.0671275677460885</v>
      </c>
      <c r="AG7" s="30">
        <v>1.0394999999999999</v>
      </c>
      <c r="AH7" s="30">
        <v>0.78750000000000009</v>
      </c>
      <c r="AI7" s="30">
        <v>1.6335000000000002</v>
      </c>
      <c r="AJ7" s="30">
        <v>52.983011871834243</v>
      </c>
      <c r="AK7" s="30">
        <v>35.347919684038644</v>
      </c>
      <c r="AL7" s="30">
        <v>47.016988128165757</v>
      </c>
      <c r="AM7" s="30">
        <v>-1.9639740087910158</v>
      </c>
      <c r="AN7" s="30">
        <v>-1.8057769790212692</v>
      </c>
      <c r="AO7" s="30">
        <v>0.15375135145747679</v>
      </c>
      <c r="AP7" s="30">
        <v>0.66666666666666663</v>
      </c>
      <c r="AQ7" s="30">
        <v>1.8193333333333337</v>
      </c>
      <c r="AR7" s="30">
        <v>1.718</v>
      </c>
      <c r="AS7" s="30">
        <v>0.10133333333333334</v>
      </c>
      <c r="AT7" s="30">
        <v>8.5063396614724187</v>
      </c>
      <c r="AU7" s="30">
        <v>6.0792010100100491</v>
      </c>
      <c r="AV7" s="30">
        <v>5</v>
      </c>
      <c r="AW7" s="30">
        <v>0.04725</v>
      </c>
      <c r="AX7" s="30">
        <v>5.0788433907135859</v>
      </c>
      <c r="AY7" s="30">
        <v>0.49200000000000005</v>
      </c>
      <c r="AZ7" s="30">
        <v>0.28999999999999998</v>
      </c>
      <c r="BA7" s="30">
        <v>1.2260000000000002</v>
      </c>
      <c r="BB7" s="30">
        <v>31.625833677567744</v>
      </c>
      <c r="BC7" s="30">
        <v>15.260018191091794</v>
      </c>
      <c r="BD7" s="30">
        <v>68.374166322432259</v>
      </c>
      <c r="BE7" s="30">
        <v>-1.7503496128289449</v>
      </c>
      <c r="BF7" s="30">
        <v>-1.8401508571919385</v>
      </c>
      <c r="BG7" s="30">
        <v>0.073166714677965289</v>
      </c>
      <c r="BH7" s="30">
        <v>3</v>
      </c>
      <c r="BI7" s="30">
        <v>3.1985000000000006</v>
      </c>
      <c r="BJ7" s="30">
        <v>2.6280000000000001</v>
      </c>
      <c r="BK7" s="30">
        <v>0.24350000000000002</v>
      </c>
      <c r="BL7" s="30">
        <v>17.185112067790065</v>
      </c>
      <c r="BM7" s="30">
        <v>6.5392359466476657</v>
      </c>
      <c r="BN7" s="30">
        <v>6</v>
      </c>
      <c r="BO7" s="30">
        <v>0.051250000000000004</v>
      </c>
      <c r="BP7" s="30">
        <v>6.0748026881603225</v>
      </c>
      <c r="BQ7" s="30">
        <v>1.2690000000000001</v>
      </c>
      <c r="BR7" s="30">
        <v>0.97800000000000009</v>
      </c>
      <c r="BS7" s="30">
        <v>1.296</v>
      </c>
      <c r="BT7" s="30">
        <v>43.715409080664152</v>
      </c>
      <c r="BU7" s="30">
        <v>32.892573021795933</v>
      </c>
      <c r="BV7" s="30">
        <v>56.284590919335848</v>
      </c>
      <c r="BW7" s="30">
        <v>-2.0775346246453603</v>
      </c>
      <c r="BX7" s="30">
        <v>-2.9719110605086434</v>
      </c>
      <c r="BY7" s="30">
        <v>0.32211650279225257</v>
      </c>
      <c r="BZ7" s="30">
        <v>5</v>
      </c>
    </row>
    <row r="8">
      <c r="A8" s="42" t="s">
        <v>139</v>
      </c>
      <c r="B8" s="43">
        <v>1</v>
      </c>
      <c r="C8" s="119">
        <v>6.0300000000000002</v>
      </c>
      <c r="D8" s="120">
        <v>0.64359226811486958</v>
      </c>
      <c r="E8" s="30">
        <v>-0.55804513775652786</v>
      </c>
      <c r="F8" s="30">
        <v>0.61648256565816251</v>
      </c>
      <c r="G8" s="30">
        <v>1.3685</v>
      </c>
      <c r="H8" s="30">
        <v>0.92849999999999999</v>
      </c>
      <c r="I8" s="30">
        <v>0.44000000000000006</v>
      </c>
      <c r="J8" s="30">
        <v>8.4125775701727115</v>
      </c>
      <c r="K8" s="30">
        <v>9.9480834945433045</v>
      </c>
      <c r="L8" s="30">
        <v>3</v>
      </c>
      <c r="M8" s="30">
        <v>0.032500000000000001</v>
      </c>
      <c r="N8" s="30">
        <v>3.0571977781841664</v>
      </c>
      <c r="O8" s="30">
        <v>0.57750000000000012</v>
      </c>
      <c r="P8" s="30">
        <v>0.123</v>
      </c>
      <c r="Q8" s="30">
        <v>0.35099999999999998</v>
      </c>
      <c r="R8" s="30">
        <v>56.892630162481126</v>
      </c>
      <c r="S8" s="30">
        <v>16.555142266867623</v>
      </c>
      <c r="T8" s="30">
        <v>43.107369837518874</v>
      </c>
      <c r="U8" s="30">
        <v>-1.688819684085739</v>
      </c>
      <c r="V8" s="30">
        <v>-1.7523155548622416</v>
      </c>
      <c r="W8" s="30">
        <v>0.16174568708099107</v>
      </c>
      <c r="X8" s="30">
        <v>0.25</v>
      </c>
      <c r="Y8" s="97">
        <v>2.4250000000000003</v>
      </c>
      <c r="Z8" s="30">
        <v>1.8510000000000002</v>
      </c>
      <c r="AA8" s="30">
        <v>0.57400000000000007</v>
      </c>
      <c r="AB8" s="30">
        <v>17.417240721332757</v>
      </c>
      <c r="AC8" s="30">
        <v>10.621419802841109</v>
      </c>
      <c r="AD8" s="30">
        <v>4</v>
      </c>
      <c r="AE8" s="30">
        <v>0.062</v>
      </c>
      <c r="AF8" s="30">
        <v>4.1095152285681671</v>
      </c>
      <c r="AG8" s="30">
        <v>1.242</v>
      </c>
      <c r="AH8" s="30">
        <v>0.89700000000000002</v>
      </c>
      <c r="AI8" s="30">
        <v>0.60899999999999999</v>
      </c>
      <c r="AJ8" s="30">
        <v>63.715636522945502</v>
      </c>
      <c r="AK8" s="30">
        <v>43.350538631613915</v>
      </c>
      <c r="AL8" s="30">
        <v>36.284363477054505</v>
      </c>
      <c r="AM8" s="30">
        <v>-1.8280839362746435</v>
      </c>
      <c r="AN8" s="30">
        <v>-1.9836508842631875</v>
      </c>
      <c r="AO8" s="30">
        <v>0.27873848841366289</v>
      </c>
      <c r="AP8" s="30">
        <v>1.6666666666666667</v>
      </c>
      <c r="AQ8" s="30">
        <v>2.1807500000000002</v>
      </c>
      <c r="AR8" s="30">
        <v>1.143</v>
      </c>
      <c r="AS8" s="30">
        <v>0.80675000000000008</v>
      </c>
      <c r="AT8" s="30">
        <v>8.8375549888534035</v>
      </c>
      <c r="AU8" s="30">
        <v>8.0293590240666326</v>
      </c>
      <c r="AV8" s="30">
        <v>5</v>
      </c>
      <c r="AW8" s="30">
        <v>0.055750000000000001</v>
      </c>
      <c r="AX8" s="30">
        <v>5.1655077475156013</v>
      </c>
      <c r="AY8" s="30">
        <v>0.86550000000000016</v>
      </c>
      <c r="AZ8" s="30">
        <v>0.45300000000000001</v>
      </c>
      <c r="BA8" s="30">
        <v>0.32700000000000001</v>
      </c>
      <c r="BB8" s="30">
        <v>61.240989187024432</v>
      </c>
      <c r="BC8" s="30">
        <v>35.824060300932544</v>
      </c>
      <c r="BD8" s="30">
        <v>38.759010812975575</v>
      </c>
      <c r="BE8" s="30">
        <v>-1.8042718861596228</v>
      </c>
      <c r="BF8" s="30">
        <v>-1.8920539544867812</v>
      </c>
      <c r="BG8" s="30">
        <v>0.18496199876937566</v>
      </c>
      <c r="BH8" s="30">
        <v>0.75</v>
      </c>
      <c r="BI8" s="30">
        <v>3.8580000000000001</v>
      </c>
      <c r="BJ8" s="30"/>
      <c r="BK8" s="30">
        <v>2.2770000000000001</v>
      </c>
      <c r="BL8" s="30"/>
      <c r="BM8" s="30"/>
      <c r="BN8" s="30">
        <v>6</v>
      </c>
      <c r="BO8" s="30">
        <v>0.051000000000000004</v>
      </c>
      <c r="BP8" s="30">
        <v>6.1143539856032048</v>
      </c>
      <c r="BQ8" s="30">
        <v>0.71700000000000008</v>
      </c>
      <c r="BR8" s="30">
        <v>0.252</v>
      </c>
      <c r="BS8" s="30"/>
      <c r="BT8" s="30">
        <v>44.498988892470912</v>
      </c>
      <c r="BU8" s="30">
        <v>15.105067260631282</v>
      </c>
      <c r="BV8" s="30">
        <v>55.501011107529081</v>
      </c>
      <c r="BW8" s="30">
        <v>-1.7346109568405153</v>
      </c>
      <c r="BX8" s="30">
        <v>-1.8447589843942696</v>
      </c>
      <c r="BY8" s="30">
        <v>0.14446932543963853</v>
      </c>
      <c r="BZ8" s="30">
        <v>3</v>
      </c>
    </row>
    <row r="9">
      <c r="A9" s="42" t="s">
        <v>139</v>
      </c>
      <c r="B9" s="43">
        <v>1</v>
      </c>
      <c r="C9" s="119">
        <v>6.0599999999999996</v>
      </c>
      <c r="D9" s="120">
        <v>0.46973620148978779</v>
      </c>
      <c r="E9" s="30">
        <v>0.71904730646059245</v>
      </c>
      <c r="F9" s="30">
        <v>0.1508522403468</v>
      </c>
      <c r="G9" s="30">
        <v>1.7532500000000002</v>
      </c>
      <c r="H9" s="30">
        <v>1.6664999999999999</v>
      </c>
      <c r="I9" s="30">
        <v>0.086750000000000008</v>
      </c>
      <c r="J9" s="30">
        <v>8.5482660901610465</v>
      </c>
      <c r="K9" s="30">
        <v>5.3806989929141924</v>
      </c>
      <c r="L9" s="30">
        <v>3</v>
      </c>
      <c r="M9" s="30">
        <v>0.049750000000000003</v>
      </c>
      <c r="N9" s="30">
        <v>3.0817263160676855</v>
      </c>
      <c r="O9" s="30">
        <v>0.74099999999999999</v>
      </c>
      <c r="P9" s="30">
        <v>0.67949999999999999</v>
      </c>
      <c r="Q9" s="30">
        <v>0.92550000000000021</v>
      </c>
      <c r="R9" s="30">
        <v>44.612379796715061</v>
      </c>
      <c r="S9" s="30">
        <v>40.778675346993111</v>
      </c>
      <c r="T9" s="30">
        <v>55.387620203284925</v>
      </c>
      <c r="U9" s="30">
        <v>-1.8054466059629117</v>
      </c>
      <c r="V9" s="30">
        <v>-2.0296342458770931</v>
      </c>
      <c r="W9" s="30">
        <v>0.11812519705005864</v>
      </c>
      <c r="X9" s="30">
        <v>2.25</v>
      </c>
      <c r="Y9" s="97">
        <v>2.8022499999999999</v>
      </c>
      <c r="Z9" s="30">
        <v>2.2875000000000001</v>
      </c>
      <c r="AA9" s="30">
        <v>0.51475000000000004</v>
      </c>
      <c r="AB9" s="30">
        <v>16.873088825841613</v>
      </c>
      <c r="AC9" s="30">
        <v>7.9377833519995447</v>
      </c>
      <c r="AD9" s="30">
        <v>4</v>
      </c>
      <c r="AE9" s="30">
        <v>0.044749999999999998</v>
      </c>
      <c r="AF9" s="30">
        <v>4.0673513065335287</v>
      </c>
      <c r="AG9" s="30">
        <v>1.2990000000000002</v>
      </c>
      <c r="AH9" s="30">
        <v>1.2375</v>
      </c>
      <c r="AI9" s="30">
        <v>0.98849999999999993</v>
      </c>
      <c r="AJ9" s="30">
        <v>56.379183991633475</v>
      </c>
      <c r="AK9" s="30">
        <v>53.563439508894291</v>
      </c>
      <c r="AL9" s="30">
        <v>43.620816008366518</v>
      </c>
      <c r="AM9" s="30">
        <v>-1.793089553553828</v>
      </c>
      <c r="AN9" s="30">
        <v>-1.8890532713121577</v>
      </c>
      <c r="AO9" s="30">
        <v>0.18450549384732703</v>
      </c>
      <c r="AP9" s="30">
        <v>2.3333333333333335</v>
      </c>
      <c r="AQ9" s="30">
        <v>4.0615000000000006</v>
      </c>
      <c r="AR9" s="30">
        <v>4.0665000000000004</v>
      </c>
      <c r="AS9" s="30">
        <v>-0.0049999999999999984</v>
      </c>
      <c r="AT9" s="30">
        <v>10.526212729409364</v>
      </c>
      <c r="AU9" s="30">
        <v>3.3381216009133761</v>
      </c>
      <c r="AV9" s="30">
        <v>5</v>
      </c>
      <c r="AW9" s="30">
        <v>0.035000000000000003</v>
      </c>
      <c r="AX9" s="30">
        <v>5.1400279918070515</v>
      </c>
      <c r="AY9" s="30">
        <v>1.371</v>
      </c>
      <c r="AZ9" s="30">
        <v>1.218</v>
      </c>
      <c r="BA9" s="30">
        <v>2.6955000000000005</v>
      </c>
      <c r="BB9" s="30">
        <v>31.227313075274715</v>
      </c>
      <c r="BC9" s="30">
        <v>27.573867105545496</v>
      </c>
      <c r="BD9" s="30">
        <v>68.772686924725292</v>
      </c>
      <c r="BE9" s="30">
        <v>-3.2960514364090714</v>
      </c>
      <c r="BF9" s="30">
        <v>-1.9091251629300316</v>
      </c>
      <c r="BG9" s="30">
        <v>0.14174668680744454</v>
      </c>
      <c r="BH9" s="30">
        <v>2.5</v>
      </c>
      <c r="BI9" s="30">
        <v>2.8900000000000001</v>
      </c>
      <c r="BJ9" s="30">
        <v>2.7870000000000004</v>
      </c>
      <c r="BK9" s="30">
        <v>0.10300000000000001</v>
      </c>
      <c r="BL9" s="30">
        <v>17.14169220569508</v>
      </c>
      <c r="BM9" s="30">
        <v>6.189544778914895</v>
      </c>
      <c r="BN9" s="30">
        <v>6</v>
      </c>
      <c r="BO9" s="30">
        <v>0.065000000000000002</v>
      </c>
      <c r="BP9" s="30">
        <v>6.084634256576031</v>
      </c>
      <c r="BQ9" s="30">
        <v>1.4025000000000001</v>
      </c>
      <c r="BR9" s="30">
        <v>0.84450000000000003</v>
      </c>
      <c r="BS9" s="30">
        <v>1.3845000000000001</v>
      </c>
      <c r="BT9" s="30">
        <v>48.775976937165382</v>
      </c>
      <c r="BU9" s="30">
        <v>28.022375609693977</v>
      </c>
      <c r="BV9" s="30">
        <v>51.224023062834611</v>
      </c>
      <c r="BW9" s="30">
        <v>-1.9758817741371257</v>
      </c>
      <c r="BX9" s="30">
        <v>-2.1889560765378193</v>
      </c>
      <c r="BY9" s="30">
        <v>0.22477696833781105</v>
      </c>
      <c r="BZ9" s="30">
        <v>2.6666666666666665</v>
      </c>
    </row>
    <row r="10" s="162" customFormat="1">
      <c r="A10" s="52" t="s">
        <v>138</v>
      </c>
      <c r="B10" s="52">
        <v>2</v>
      </c>
      <c r="C10" s="164">
        <v>6.0599999999999996</v>
      </c>
      <c r="D10" s="165">
        <v>0.14744722217499889</v>
      </c>
      <c r="E10" s="49">
        <v>0.85278534856417609</v>
      </c>
      <c r="F10" s="49">
        <v>0.35461095256854469</v>
      </c>
      <c r="G10" s="30">
        <v>1.1992500000000001</v>
      </c>
      <c r="H10" s="30">
        <v>0.66600000000000004</v>
      </c>
      <c r="I10" s="30">
        <v>0.53325</v>
      </c>
      <c r="J10" s="30">
        <v>7.9690153730778919</v>
      </c>
      <c r="K10" s="30">
        <v>12.329021603151485</v>
      </c>
      <c r="L10" s="30">
        <v>3</v>
      </c>
      <c r="M10" s="30">
        <v>0.051749999999999997</v>
      </c>
      <c r="N10" s="30">
        <v>2.985908991631629</v>
      </c>
      <c r="O10" s="30">
        <v>0.35100000000000003</v>
      </c>
      <c r="P10" s="30">
        <v>0.21900000000000003</v>
      </c>
      <c r="Q10" s="30">
        <v>0.315</v>
      </c>
      <c r="R10" s="30">
        <v>51.838820150993726</v>
      </c>
      <c r="S10" s="30">
        <v>30.892083403768289</v>
      </c>
      <c r="T10" s="30">
        <v>48.161179849006274</v>
      </c>
      <c r="U10" s="30">
        <v>-1.4562189871011677</v>
      </c>
      <c r="V10" s="30">
        <v>-1.5754380704371758</v>
      </c>
      <c r="W10" s="30">
        <v>0.093065122919999452</v>
      </c>
      <c r="X10" s="30">
        <v>0</v>
      </c>
      <c r="Y10" s="97">
        <v>1.6327500000000001</v>
      </c>
      <c r="Z10" s="30">
        <v>1.0455000000000001</v>
      </c>
      <c r="AA10" s="30">
        <v>0.58724999999999994</v>
      </c>
      <c r="AB10" s="30">
        <v>16.295598090286394</v>
      </c>
      <c r="AC10" s="30">
        <v>15.911891530544107</v>
      </c>
      <c r="AD10" s="30">
        <v>4</v>
      </c>
      <c r="AE10" s="30">
        <v>0.054749999999999986</v>
      </c>
      <c r="AF10" s="30">
        <v>4.0224979666663128</v>
      </c>
      <c r="AG10" s="30">
        <v>0.54300000000000004</v>
      </c>
      <c r="AH10" s="30">
        <v>0.15900000000000003</v>
      </c>
      <c r="AI10" s="30">
        <v>0.50249999999999995</v>
      </c>
      <c r="AJ10" s="30">
        <v>52.951133683253815</v>
      </c>
      <c r="AK10" s="30">
        <v>16.01333408922309</v>
      </c>
      <c r="AL10" s="30">
        <v>47.048866316746185</v>
      </c>
      <c r="AM10" s="30">
        <v>-1.4982375095312699</v>
      </c>
      <c r="AN10" s="30">
        <v>-1.670857623683585</v>
      </c>
      <c r="AO10" s="30">
        <v>0.12308970666840828</v>
      </c>
      <c r="AP10" s="30">
        <v>0.5</v>
      </c>
      <c r="AQ10" s="30">
        <v>1.5050000000000003</v>
      </c>
      <c r="AR10" s="30">
        <v>1.1895</v>
      </c>
      <c r="AS10" s="30">
        <v>0.3155</v>
      </c>
      <c r="AT10" s="30">
        <v>8.9003366830200736</v>
      </c>
      <c r="AU10" s="30">
        <v>7.8544990255807239</v>
      </c>
      <c r="AV10" s="30">
        <v>5</v>
      </c>
      <c r="AW10" s="30">
        <v>0.050500000000000003</v>
      </c>
      <c r="AX10" s="30">
        <v>5.1213979095739486</v>
      </c>
      <c r="AY10" s="30">
        <v>0.3795</v>
      </c>
      <c r="AZ10" s="30">
        <v>0.16500000000000001</v>
      </c>
      <c r="BA10" s="30">
        <v>0.81000000000000016</v>
      </c>
      <c r="BB10" s="30">
        <v>31.849698218765162</v>
      </c>
      <c r="BC10" s="30">
        <v>12.586399672231705</v>
      </c>
      <c r="BD10" s="30">
        <v>68.15030178123483</v>
      </c>
      <c r="BE10" s="30">
        <v>-1.6778348133370233</v>
      </c>
      <c r="BF10" s="30">
        <v>-1.5512687039682032</v>
      </c>
      <c r="BG10" s="30">
        <v>0.14028725276285264</v>
      </c>
      <c r="BH10" s="30">
        <v>1.5</v>
      </c>
      <c r="BI10" s="30">
        <v>1.7557500000000001</v>
      </c>
      <c r="BJ10" s="30">
        <v>1.046</v>
      </c>
      <c r="BK10" s="30">
        <v>0.67875000000000008</v>
      </c>
      <c r="BL10" s="30">
        <v>16.740418057308236</v>
      </c>
      <c r="BM10" s="30">
        <v>16.213642458974828</v>
      </c>
      <c r="BN10" s="30">
        <v>6</v>
      </c>
      <c r="BO10" s="30">
        <v>0.054749999999999986</v>
      </c>
      <c r="BP10" s="30">
        <v>6.0571000204454268</v>
      </c>
      <c r="BQ10" s="30">
        <v>0.39600000000000002</v>
      </c>
      <c r="BR10" s="30">
        <v>0.13500000000000001</v>
      </c>
      <c r="BS10" s="30">
        <v>0.64000000000000001</v>
      </c>
      <c r="BT10" s="30">
        <v>37.33959856131802</v>
      </c>
      <c r="BU10" s="30">
        <v>12.470909173819958</v>
      </c>
      <c r="BV10" s="30">
        <v>62.660401438681973</v>
      </c>
      <c r="BW10" s="30">
        <v>-1.4372722634196642</v>
      </c>
      <c r="BX10" s="30">
        <v>-1.6045341878869106</v>
      </c>
      <c r="BY10" s="30">
        <v>0.16478634826889907</v>
      </c>
      <c r="BZ10" s="30">
        <v>0.25</v>
      </c>
    </row>
    <row r="11">
      <c r="A11" s="42" t="s">
        <v>139</v>
      </c>
      <c r="B11" s="43">
        <v>1</v>
      </c>
      <c r="C11" s="125">
        <v>6.0899999999999999</v>
      </c>
      <c r="D11" s="120">
        <v>0.15665935895580579</v>
      </c>
      <c r="E11" s="30">
        <v>1.0673265208015259</v>
      </c>
      <c r="F11" s="30">
        <v>0.13947092679688766</v>
      </c>
      <c r="G11" s="30">
        <v>1.5197500000000002</v>
      </c>
      <c r="H11" s="30">
        <v>0.89100000000000001</v>
      </c>
      <c r="I11" s="30">
        <v>0.62875000000000003</v>
      </c>
      <c r="J11" s="30">
        <v>8.4049428601502818</v>
      </c>
      <c r="K11" s="30">
        <v>10.484766672540225</v>
      </c>
      <c r="L11" s="30">
        <v>3</v>
      </c>
      <c r="M11" s="30">
        <v>0.037250000000000005</v>
      </c>
      <c r="N11" s="30">
        <v>3.0645202140984922</v>
      </c>
      <c r="O11" s="30">
        <v>0.36150000000000004</v>
      </c>
      <c r="P11" s="30">
        <v>0.17850000000000002</v>
      </c>
      <c r="Q11" s="30">
        <v>0.52949999999999997</v>
      </c>
      <c r="R11" s="30">
        <v>42.012524630708441</v>
      </c>
      <c r="S11" s="30">
        <v>20.413367317305962</v>
      </c>
      <c r="T11" s="30">
        <v>57.987475369291566</v>
      </c>
      <c r="U11" s="30">
        <v>-1.5355341413877517</v>
      </c>
      <c r="V11" s="30">
        <v>-1.5560053364601245</v>
      </c>
      <c r="W11" s="30">
        <v>0.065355082571429912</v>
      </c>
      <c r="X11" s="30">
        <v>1</v>
      </c>
      <c r="Y11" s="97">
        <v>1.9692500000000002</v>
      </c>
      <c r="Z11" s="30">
        <v>1.4250000000000003</v>
      </c>
      <c r="AA11" s="30">
        <v>0.54425000000000001</v>
      </c>
      <c r="AB11" s="30">
        <v>17.012006800332969</v>
      </c>
      <c r="AC11" s="30">
        <v>12.125577215660101</v>
      </c>
      <c r="AD11" s="30">
        <v>4</v>
      </c>
      <c r="AE11" s="30">
        <v>0.049750000000000003</v>
      </c>
      <c r="AF11" s="30">
        <v>4.0797518926060921</v>
      </c>
      <c r="AG11" s="30">
        <v>0.47099999999999997</v>
      </c>
      <c r="AH11" s="30">
        <v>0.20400000000000001</v>
      </c>
      <c r="AI11" s="30">
        <v>0.95400000000000029</v>
      </c>
      <c r="AJ11" s="30">
        <v>32.475591403745767</v>
      </c>
      <c r="AK11" s="30">
        <v>13.885976512070679</v>
      </c>
      <c r="AL11" s="30">
        <v>67.524408596254233</v>
      </c>
      <c r="AM11" s="30">
        <v>-1.5630470335164803</v>
      </c>
      <c r="AN11" s="30">
        <v>-1.6201560245411872</v>
      </c>
      <c r="AO11" s="30">
        <v>0.15891721831537692</v>
      </c>
      <c r="AP11" s="30">
        <v>1.5</v>
      </c>
      <c r="AQ11" s="30">
        <v>1.3960000000000001</v>
      </c>
      <c r="AR11" s="30">
        <v>1.0545</v>
      </c>
      <c r="AS11" s="30">
        <v>0.34150000000000003</v>
      </c>
      <c r="AT11" s="30">
        <v>8.8964805754892282</v>
      </c>
      <c r="AU11" s="30">
        <v>8.7065665224959705</v>
      </c>
      <c r="AV11" s="30">
        <v>5</v>
      </c>
      <c r="AW11" s="30">
        <v>0.050000000000000003</v>
      </c>
      <c r="AX11" s="30">
        <v>5.1453333364454492</v>
      </c>
      <c r="AY11" s="30">
        <v>0.34799999999999998</v>
      </c>
      <c r="AZ11" s="30">
        <v>0.23100000000000001</v>
      </c>
      <c r="BA11" s="30">
        <v>0.70650000000000013</v>
      </c>
      <c r="BB11" s="30">
        <v>34.054335705182666</v>
      </c>
      <c r="BC11" s="30">
        <v>22.150572606910227</v>
      </c>
      <c r="BD11" s="30">
        <v>65.945664294817334</v>
      </c>
      <c r="BE11" s="30">
        <v>-1.534304548689357</v>
      </c>
      <c r="BF11" s="30">
        <v>-1.5298295756314002</v>
      </c>
      <c r="BG11" s="30">
        <v>0.065485517173264882</v>
      </c>
      <c r="BH11" s="30">
        <v>1.3333333333333333</v>
      </c>
      <c r="BI11" s="30">
        <v>2.2622500000000003</v>
      </c>
      <c r="BJ11" s="30">
        <v>1.6800000000000002</v>
      </c>
      <c r="BK11" s="30">
        <v>0.58224999999999993</v>
      </c>
      <c r="BL11" s="30">
        <v>17.315427796070693</v>
      </c>
      <c r="BM11" s="30">
        <v>10.426587881625776</v>
      </c>
      <c r="BN11" s="30">
        <v>6</v>
      </c>
      <c r="BO11" s="30">
        <v>0.03875</v>
      </c>
      <c r="BP11" s="30">
        <v>6.0811062460620731</v>
      </c>
      <c r="BQ11" s="30">
        <v>0.78300000000000003</v>
      </c>
      <c r="BR11" s="30">
        <v>0.24450000000000002</v>
      </c>
      <c r="BS11" s="30">
        <v>0.89700000000000002</v>
      </c>
      <c r="BT11" s="30">
        <v>48.059865281668088</v>
      </c>
      <c r="BU11" s="30">
        <v>14.091186525435711</v>
      </c>
      <c r="BV11" s="30">
        <v>51.940134718331912</v>
      </c>
      <c r="BW11" s="30">
        <v>-1.634923454681525</v>
      </c>
      <c r="BX11" s="30">
        <v>-1.7846016783384226</v>
      </c>
      <c r="BY11" s="30">
        <v>0.178503684786148</v>
      </c>
      <c r="BZ11" s="30">
        <v>1.6666666666666667</v>
      </c>
    </row>
    <row r="12">
      <c r="A12" s="42" t="s">
        <v>139</v>
      </c>
      <c r="B12" s="43">
        <v>1</v>
      </c>
      <c r="C12" s="119">
        <v>6.0899999999999999</v>
      </c>
      <c r="D12" s="120">
        <v>0.45933124103925099</v>
      </c>
      <c r="E12" s="30">
        <v>0.33087055051070668</v>
      </c>
      <c r="F12" s="30">
        <v>0.36739383612032506</v>
      </c>
      <c r="G12" s="30">
        <v>1.6400000000000001</v>
      </c>
      <c r="H12" s="30">
        <v>1.095</v>
      </c>
      <c r="I12" s="30">
        <v>0.54500000000000004</v>
      </c>
      <c r="J12" s="30">
        <v>8.4725422417730378</v>
      </c>
      <c r="K12" s="30">
        <v>8.0015394900597556</v>
      </c>
      <c r="L12" s="30">
        <v>3</v>
      </c>
      <c r="M12" s="30">
        <v>0.052000000000000005</v>
      </c>
      <c r="N12" s="30">
        <v>3.0735271607918211</v>
      </c>
      <c r="O12" s="30">
        <v>0.47999999999999998</v>
      </c>
      <c r="P12" s="30">
        <v>0.21150000000000002</v>
      </c>
      <c r="Q12" s="30">
        <v>0.61499999999999999</v>
      </c>
      <c r="R12" s="30">
        <v>45.641715632027577</v>
      </c>
      <c r="S12" s="30">
        <v>21.560282974144499</v>
      </c>
      <c r="T12" s="30">
        <v>54.358284367972416</v>
      </c>
      <c r="U12" s="30">
        <v>-1.7007114000137342</v>
      </c>
      <c r="V12" s="30">
        <v>-1.6621163854866663</v>
      </c>
      <c r="W12" s="30">
        <v>0.12649792796492176</v>
      </c>
      <c r="X12" s="30">
        <v>1.25</v>
      </c>
      <c r="Y12" s="97">
        <v>2.5254999999999996</v>
      </c>
      <c r="Z12" s="30">
        <v>1.7175000000000005</v>
      </c>
      <c r="AA12" s="30">
        <v>0.80800000000000005</v>
      </c>
      <c r="AB12" s="30">
        <v>16.526112817649466</v>
      </c>
      <c r="AC12" s="30">
        <v>11.156894436485885</v>
      </c>
      <c r="AD12" s="30">
        <v>4</v>
      </c>
      <c r="AE12" s="30">
        <v>0.049999999999999996</v>
      </c>
      <c r="AF12" s="30">
        <v>4.0324400947276331</v>
      </c>
      <c r="AG12" s="30">
        <v>0.77549999999999997</v>
      </c>
      <c r="AH12" s="30">
        <v>0.53549999999999998</v>
      </c>
      <c r="AI12" s="30">
        <v>0.94200000000000017</v>
      </c>
      <c r="AJ12" s="30">
        <v>45.367739586416455</v>
      </c>
      <c r="AK12" s="30">
        <v>31.209274821953937</v>
      </c>
      <c r="AL12" s="30">
        <v>54.632260413583552</v>
      </c>
      <c r="AM12" s="30">
        <v>-1.5717468950200351</v>
      </c>
      <c r="AN12" s="30">
        <v>-1.6982855696868928</v>
      </c>
      <c r="AO12" s="30">
        <v>0.1993550509896353</v>
      </c>
      <c r="AP12" s="30">
        <v>1.75</v>
      </c>
      <c r="AQ12" s="30">
        <v>2.1905000000000001</v>
      </c>
      <c r="AR12" s="30">
        <v>1.6440000000000001</v>
      </c>
      <c r="AS12" s="30">
        <v>0.54649999999999999</v>
      </c>
      <c r="AT12" s="30">
        <v>9.2578755388329057</v>
      </c>
      <c r="AU12" s="30">
        <v>5.6928239068293145</v>
      </c>
      <c r="AV12" s="30">
        <v>5</v>
      </c>
      <c r="AW12" s="30">
        <v>0.056500000000000009</v>
      </c>
      <c r="AX12" s="30">
        <v>5.1868413440319259</v>
      </c>
      <c r="AY12" s="30">
        <v>0.45000000000000001</v>
      </c>
      <c r="AZ12" s="30">
        <v>-0.29699999999999999</v>
      </c>
      <c r="BA12" s="30">
        <v>1.1940000000000002</v>
      </c>
      <c r="BB12" s="30">
        <v>26.704008555545567</v>
      </c>
      <c r="BC12" s="30">
        <v>-16.961833546285067</v>
      </c>
      <c r="BD12" s="30">
        <v>73.29599144445443</v>
      </c>
      <c r="BE12" s="30">
        <v>-1.7215606418798681</v>
      </c>
      <c r="BF12" s="30">
        <v>-1.6669369559499896</v>
      </c>
      <c r="BG12" s="30">
        <v>0.1185548290268396</v>
      </c>
      <c r="BH12" s="30">
        <v>2.5</v>
      </c>
      <c r="BI12" s="30">
        <v>3.3850000000000007</v>
      </c>
      <c r="BJ12" s="30">
        <v>1.7175000000000005</v>
      </c>
      <c r="BK12" s="30">
        <v>1.6674999999999998</v>
      </c>
      <c r="BL12" s="30">
        <v>16.473733468056466</v>
      </c>
      <c r="BM12" s="30">
        <v>9.7832965254348494</v>
      </c>
      <c r="BN12" s="30">
        <v>6</v>
      </c>
      <c r="BO12" s="30">
        <v>0.041000000000000002</v>
      </c>
      <c r="BP12" s="30">
        <v>6.0327853202357495</v>
      </c>
      <c r="BQ12" s="30">
        <v>0.79049999999999998</v>
      </c>
      <c r="BR12" s="30">
        <v>0.42899999999999999</v>
      </c>
      <c r="BS12" s="30">
        <v>0.92699999999999994</v>
      </c>
      <c r="BT12" s="30">
        <v>46.295999722480204</v>
      </c>
      <c r="BU12" s="30">
        <v>25.042474214505884</v>
      </c>
      <c r="BV12" s="30">
        <v>53.704000277519796</v>
      </c>
      <c r="BW12" s="30">
        <v>-1.6543233359991021</v>
      </c>
      <c r="BX12" s="30">
        <v>-1.7400404945660533</v>
      </c>
      <c r="BY12" s="30">
        <v>0.19200218496785881</v>
      </c>
      <c r="BZ12" s="30">
        <v>2</v>
      </c>
    </row>
    <row r="13" s="162" customFormat="1">
      <c r="A13" s="52" t="s">
        <v>138</v>
      </c>
      <c r="B13" s="52">
        <v>2</v>
      </c>
      <c r="C13" s="166">
        <v>6.0899999999999999</v>
      </c>
      <c r="D13" s="165">
        <v>0.23241910338595353</v>
      </c>
      <c r="E13" s="49">
        <v>0.39042853173107711</v>
      </c>
      <c r="F13" s="49">
        <v>0.30983240122462274</v>
      </c>
      <c r="G13" s="30">
        <v>0.94575000000000009</v>
      </c>
      <c r="H13" s="30">
        <v>0.61350000000000016</v>
      </c>
      <c r="I13" s="30">
        <v>0.33225000000000005</v>
      </c>
      <c r="J13" s="30">
        <v>8.8730885351607096</v>
      </c>
      <c r="K13" s="30">
        <v>14.626743789027767</v>
      </c>
      <c r="L13" s="30">
        <v>3</v>
      </c>
      <c r="M13" s="30">
        <v>0.039750000000000001</v>
      </c>
      <c r="N13" s="30">
        <v>3.122675461032749</v>
      </c>
      <c r="O13" s="30">
        <v>0.23549999999999999</v>
      </c>
      <c r="P13" s="30">
        <v>0.11700000000000002</v>
      </c>
      <c r="Q13" s="30">
        <v>0.378</v>
      </c>
      <c r="R13" s="30">
        <v>38.423689745178677</v>
      </c>
      <c r="S13" s="30">
        <v>19.353266482639476</v>
      </c>
      <c r="T13" s="30">
        <v>61.57631025482133</v>
      </c>
      <c r="U13" s="30">
        <v>-1.4878241522339817</v>
      </c>
      <c r="V13" s="30">
        <v>-1.4352707055525744</v>
      </c>
      <c r="W13" s="30">
        <v>0.1193758478068799</v>
      </c>
      <c r="X13" s="30">
        <v>0.75</v>
      </c>
      <c r="Y13" s="97">
        <v>1.5602499999999999</v>
      </c>
      <c r="Z13" s="30">
        <v>1.119</v>
      </c>
      <c r="AA13" s="30">
        <v>0.44125000000000003</v>
      </c>
      <c r="AB13" s="30">
        <v>17.372224511529879</v>
      </c>
      <c r="AC13" s="30">
        <v>19.430502175276324</v>
      </c>
      <c r="AD13" s="30">
        <v>4</v>
      </c>
      <c r="AE13" s="30">
        <v>0.041749999999999995</v>
      </c>
      <c r="AF13" s="30">
        <v>4.0606565125663607</v>
      </c>
      <c r="AG13" s="30">
        <v>0.67200000000000004</v>
      </c>
      <c r="AH13" s="30">
        <v>0.15900000000000003</v>
      </c>
      <c r="AI13" s="30">
        <v>0.44700000000000006</v>
      </c>
      <c r="AJ13" s="30">
        <v>52.060114144492175</v>
      </c>
      <c r="AK13" s="30">
        <v>13.69112441324533</v>
      </c>
      <c r="AL13" s="30">
        <v>47.939885855507832</v>
      </c>
      <c r="AM13" s="30">
        <v>-1.6439163367153244</v>
      </c>
      <c r="AN13" s="30">
        <v>-1.7182466827762561</v>
      </c>
      <c r="AO13" s="30">
        <v>0.14409152832534516</v>
      </c>
      <c r="AP13" s="30">
        <v>1</v>
      </c>
      <c r="AQ13" s="30">
        <v>1.62425</v>
      </c>
      <c r="AR13" s="30">
        <v>1.0995000000000001</v>
      </c>
      <c r="AS13" s="30">
        <v>0.52475000000000005</v>
      </c>
      <c r="AT13" s="30">
        <v>8.8701791118699944</v>
      </c>
      <c r="AU13" s="30">
        <v>8.7218571003221026</v>
      </c>
      <c r="AV13" s="30">
        <v>5</v>
      </c>
      <c r="AW13" s="30">
        <v>0.049749999999999996</v>
      </c>
      <c r="AX13" s="30">
        <v>5.0943315824125168</v>
      </c>
      <c r="AY13" s="30">
        <v>0.35099999999999998</v>
      </c>
      <c r="AZ13" s="30">
        <v>0.19650000000000001</v>
      </c>
      <c r="BA13" s="30">
        <v>0.74850000000000005</v>
      </c>
      <c r="BB13" s="30">
        <v>30.981259249813501</v>
      </c>
      <c r="BC13" s="30">
        <v>17.499328821436819</v>
      </c>
      <c r="BD13" s="30">
        <v>69.018740750186495</v>
      </c>
      <c r="BE13" s="30">
        <v>-1.4738069606940223</v>
      </c>
      <c r="BF13" s="30">
        <v>-1.4956652085330031</v>
      </c>
      <c r="BG13" s="30">
        <v>0.13380522872576267</v>
      </c>
      <c r="BH13" s="30">
        <v>1.25</v>
      </c>
      <c r="BI13" s="30">
        <v>1.6179999999999997</v>
      </c>
      <c r="BJ13" s="30">
        <v>1.0230000000000001</v>
      </c>
      <c r="BK13" s="30">
        <v>0.59500000000000008</v>
      </c>
      <c r="BL13" s="30">
        <v>16.491165945406756</v>
      </c>
      <c r="BM13" s="30">
        <v>16.217754801710953</v>
      </c>
      <c r="BN13" s="30">
        <v>6</v>
      </c>
      <c r="BO13" s="30">
        <v>0.053000000000000005</v>
      </c>
      <c r="BP13" s="30">
        <v>6.0375396438288007</v>
      </c>
      <c r="BQ13" s="30">
        <v>0.39600000000000007</v>
      </c>
      <c r="BR13" s="30">
        <v>0.30600000000000005</v>
      </c>
      <c r="BS13" s="30">
        <v>0.627</v>
      </c>
      <c r="BT13" s="30">
        <v>39.234284131819436</v>
      </c>
      <c r="BU13" s="30">
        <v>30.381127111603433</v>
      </c>
      <c r="BV13" s="30">
        <v>60.765715868180564</v>
      </c>
      <c r="BW13" s="30">
        <v>-1.5476741933286029</v>
      </c>
      <c r="BX13" s="30">
        <v>-1.5222571995183631</v>
      </c>
      <c r="BY13" s="30">
        <v>0.1140425381788696</v>
      </c>
      <c r="BZ13" s="30">
        <v>0.5</v>
      </c>
    </row>
    <row r="14" s="162" customFormat="1">
      <c r="A14" s="52" t="s">
        <v>138</v>
      </c>
      <c r="B14" s="56">
        <v>2</v>
      </c>
      <c r="C14" s="167">
        <v>6.0899999999999999</v>
      </c>
      <c r="D14" s="165">
        <v>0.21022159575573035</v>
      </c>
      <c r="E14" s="49">
        <v>0.82925327198541177</v>
      </c>
      <c r="F14" s="49">
        <v>0.30347961562305092</v>
      </c>
      <c r="G14" s="30">
        <v>1.4510000000000001</v>
      </c>
      <c r="H14" s="30">
        <v>1.131</v>
      </c>
      <c r="I14" s="30">
        <v>0.32000000000000001</v>
      </c>
      <c r="J14" s="30">
        <v>8.7574329916335305</v>
      </c>
      <c r="K14" s="30">
        <v>7.9500044355327999</v>
      </c>
      <c r="L14" s="30">
        <v>3</v>
      </c>
      <c r="M14" s="30">
        <v>0.049000000000000002</v>
      </c>
      <c r="N14" s="30">
        <v>3.1162204451815669</v>
      </c>
      <c r="O14" s="30">
        <v>0.74550000000000005</v>
      </c>
      <c r="P14" s="30">
        <v>0.62400000000000011</v>
      </c>
      <c r="Q14" s="30">
        <v>0.38549999999999995</v>
      </c>
      <c r="R14" s="30">
        <v>64.286778143792304</v>
      </c>
      <c r="S14" s="30">
        <v>53.670260357989513</v>
      </c>
      <c r="T14" s="30">
        <v>35.713221856207703</v>
      </c>
      <c r="U14" s="30">
        <v>-1.6527453618493593</v>
      </c>
      <c r="V14" s="30">
        <v>-1.8110259983449275</v>
      </c>
      <c r="W14" s="30">
        <v>0.054902305721418604</v>
      </c>
      <c r="X14" s="30">
        <v>0.5</v>
      </c>
      <c r="Y14" s="97">
        <v>1.8422499999999999</v>
      </c>
      <c r="Z14" s="30">
        <v>1.2690000000000001</v>
      </c>
      <c r="AA14" s="30">
        <v>0.57325000000000004</v>
      </c>
      <c r="AB14" s="30">
        <v>17.010014456658261</v>
      </c>
      <c r="AC14" s="30">
        <v>13.76498983761687</v>
      </c>
      <c r="AD14" s="30">
        <v>4</v>
      </c>
      <c r="AE14" s="30">
        <v>0.053750000000000006</v>
      </c>
      <c r="AF14" s="30">
        <v>4.0837303329081225</v>
      </c>
      <c r="AG14" s="30">
        <v>0.82200000000000006</v>
      </c>
      <c r="AH14" s="30">
        <v>0.47250000000000003</v>
      </c>
      <c r="AI14" s="30">
        <v>0.44699999999999995</v>
      </c>
      <c r="AJ14" s="30">
        <v>64.133864339174323</v>
      </c>
      <c r="AK14" s="30">
        <v>35.577789126916464</v>
      </c>
      <c r="AL14" s="30">
        <v>35.866135660825684</v>
      </c>
      <c r="AM14" s="30">
        <v>-1.510474362340934</v>
      </c>
      <c r="AN14" s="30">
        <v>-1.6873586183377411</v>
      </c>
      <c r="AO14" s="30">
        <v>0.13078759312370122</v>
      </c>
      <c r="AP14" s="30">
        <v>0</v>
      </c>
      <c r="AQ14" s="30">
        <v>1.6187500000000004</v>
      </c>
      <c r="AR14" s="30">
        <v>1.266</v>
      </c>
      <c r="AS14" s="30">
        <v>0.40975</v>
      </c>
      <c r="AT14" s="30">
        <v>9.0256608286549191</v>
      </c>
      <c r="AU14" s="30">
        <v>7.1292739562835061</v>
      </c>
      <c r="AV14" s="30">
        <v>5</v>
      </c>
      <c r="AW14" s="30">
        <v>0.052250000000000005</v>
      </c>
      <c r="AX14" s="30">
        <v>5.1741828894910915</v>
      </c>
      <c r="AY14" s="30">
        <v>0.51000000000000001</v>
      </c>
      <c r="AZ14" s="30">
        <v>0.42300000000000004</v>
      </c>
      <c r="BA14" s="30">
        <v>0.79200000000000004</v>
      </c>
      <c r="BB14" s="30">
        <v>41.931769637086433</v>
      </c>
      <c r="BC14" s="30">
        <v>34.656147752223148</v>
      </c>
      <c r="BD14" s="30">
        <v>58.068230362913553</v>
      </c>
      <c r="BE14" s="30">
        <v>-1.6439227009239439</v>
      </c>
      <c r="BF14" s="30">
        <v>-1.6480710602262991</v>
      </c>
      <c r="BG14" s="30">
        <v>0.10435808874280521</v>
      </c>
      <c r="BH14" s="30">
        <v>1.25</v>
      </c>
      <c r="BI14" s="30">
        <v>2.27725</v>
      </c>
      <c r="BJ14" s="30">
        <v>1.5915000000000001</v>
      </c>
      <c r="BK14" s="30">
        <v>0.68575000000000008</v>
      </c>
      <c r="BL14" s="30">
        <v>16.740310945472295</v>
      </c>
      <c r="BM14" s="30">
        <v>11.372226128208119</v>
      </c>
      <c r="BN14" s="30">
        <v>6</v>
      </c>
      <c r="BO14" s="30">
        <v>0.040249999999999994</v>
      </c>
      <c r="BP14" s="30">
        <v>6.0456528350283385</v>
      </c>
      <c r="BQ14" s="30">
        <v>0.82350000000000012</v>
      </c>
      <c r="BR14" s="30">
        <v>0.60750000000000004</v>
      </c>
      <c r="BS14" s="30">
        <v>0.76800000000000002</v>
      </c>
      <c r="BT14" s="30">
        <v>53.019011007017511</v>
      </c>
      <c r="BU14" s="30">
        <v>35.429707163882362</v>
      </c>
      <c r="BV14" s="30">
        <v>46.980988992982489</v>
      </c>
      <c r="BW14" s="30">
        <v>-1.541265671420472</v>
      </c>
      <c r="BX14" s="30">
        <v>-1.6837370356336741</v>
      </c>
      <c r="BY14" s="30">
        <v>0.15315051564980992</v>
      </c>
      <c r="BZ14" s="30">
        <v>1.75</v>
      </c>
    </row>
    <row r="15">
      <c r="A15" s="42" t="s">
        <v>139</v>
      </c>
      <c r="B15" s="43">
        <v>2</v>
      </c>
      <c r="C15" s="129">
        <v>6.0999999999999996</v>
      </c>
      <c r="D15" s="120">
        <v>0.42788353989488587</v>
      </c>
      <c r="E15" s="30">
        <v>0.28164882635876698</v>
      </c>
      <c r="F15" s="30">
        <v>0.32760665023928437</v>
      </c>
      <c r="G15" s="30">
        <v>1.1755000000000002</v>
      </c>
      <c r="H15" s="30">
        <v>0.93149999999999999</v>
      </c>
      <c r="I15" s="30">
        <v>0.24399999999999999</v>
      </c>
      <c r="J15" s="30">
        <v>8.5771078265563432</v>
      </c>
      <c r="K15" s="30">
        <v>9.2541875541048331</v>
      </c>
      <c r="L15" s="30">
        <v>3</v>
      </c>
      <c r="M15" s="30">
        <v>0.032000000000000001</v>
      </c>
      <c r="N15" s="30">
        <v>3.0828804807501848</v>
      </c>
      <c r="O15" s="30">
        <v>0.47250000000000003</v>
      </c>
      <c r="P15" s="30">
        <v>0.246</v>
      </c>
      <c r="Q15" s="30">
        <v>0.45900000000000007</v>
      </c>
      <c r="R15" s="30">
        <v>50.055524256447164</v>
      </c>
      <c r="S15" s="30">
        <v>26.652599707561393</v>
      </c>
      <c r="T15" s="30">
        <v>49.944475743552836</v>
      </c>
      <c r="U15" s="30">
        <v>-1.5880716618448965</v>
      </c>
      <c r="V15" s="30">
        <v>-1.6900784099528949</v>
      </c>
      <c r="W15" s="30">
        <v>0.080499769560764683</v>
      </c>
      <c r="X15" s="30">
        <v>0.5</v>
      </c>
      <c r="Y15" s="97">
        <v>2.6675000000000004</v>
      </c>
      <c r="Z15" s="30">
        <v>2.1840000000000002</v>
      </c>
      <c r="AA15" s="30">
        <v>0.4835000000000001</v>
      </c>
      <c r="AB15" s="30">
        <v>16.643555544830942</v>
      </c>
      <c r="AC15" s="30">
        <v>8.8712245583686027</v>
      </c>
      <c r="AD15" s="30">
        <v>4</v>
      </c>
      <c r="AE15" s="30">
        <v>0.033999999999999996</v>
      </c>
      <c r="AF15" s="30">
        <v>4.0470847474643152</v>
      </c>
      <c r="AG15" s="30">
        <v>0.62400000000000011</v>
      </c>
      <c r="AH15" s="30">
        <v>0.15900000000000003</v>
      </c>
      <c r="AI15" s="30">
        <v>1.5600000000000003</v>
      </c>
      <c r="AJ15" s="30">
        <v>27.636950363561574</v>
      </c>
      <c r="AK15" s="30">
        <v>8.65467052246618</v>
      </c>
      <c r="AL15" s="30">
        <v>72.363049636438433</v>
      </c>
      <c r="AM15" s="30">
        <v>-1.9711843729044509</v>
      </c>
      <c r="AN15" s="30">
        <v>-1.7724104344626226</v>
      </c>
      <c r="AO15" s="30">
        <v>0.14793780244313434</v>
      </c>
      <c r="AP15" s="30">
        <v>3.25</v>
      </c>
      <c r="AQ15" s="30">
        <v>2.4092500000000006</v>
      </c>
      <c r="AR15" s="30">
        <v>2.3640000000000003</v>
      </c>
      <c r="AS15" s="30">
        <v>0.26575000000000004</v>
      </c>
      <c r="AT15" s="30">
        <v>8.8200547120734374</v>
      </c>
      <c r="AU15" s="30">
        <v>4.4601900688633203</v>
      </c>
      <c r="AV15" s="30">
        <v>5</v>
      </c>
      <c r="AW15" s="30">
        <v>0.047750000000000001</v>
      </c>
      <c r="AX15" s="30">
        <v>5.1173961200226161</v>
      </c>
      <c r="AY15" s="30">
        <v>0.99450000000000005</v>
      </c>
      <c r="AZ15" s="30">
        <v>0.73650000000000004</v>
      </c>
      <c r="BA15" s="30">
        <v>1.3140000000000001</v>
      </c>
      <c r="BB15" s="30">
        <v>41.602350829929613</v>
      </c>
      <c r="BC15" s="30">
        <v>25.551685527651916</v>
      </c>
      <c r="BD15" s="30">
        <v>58.39764917007038</v>
      </c>
      <c r="BE15" s="30">
        <v>-1.9093902567428547</v>
      </c>
      <c r="BF15" s="30">
        <v>-1.8802027478075813</v>
      </c>
      <c r="BG15" s="30">
        <v>0.17384919262201287</v>
      </c>
      <c r="BH15" s="30">
        <v>2.5</v>
      </c>
      <c r="BI15" s="30">
        <v>2.7085000000000004</v>
      </c>
      <c r="BJ15" s="30">
        <v>2.1254999999999997</v>
      </c>
      <c r="BK15" s="30">
        <v>0.58300000000000007</v>
      </c>
      <c r="BL15" s="30">
        <v>16.858483358954778</v>
      </c>
      <c r="BM15" s="30">
        <v>8.4649152491700299</v>
      </c>
      <c r="BN15" s="30">
        <v>6</v>
      </c>
      <c r="BO15" s="30">
        <v>0.071000000000000008</v>
      </c>
      <c r="BP15" s="30">
        <v>6.0617203623832019</v>
      </c>
      <c r="BQ15" s="30">
        <v>1.1355</v>
      </c>
      <c r="BR15" s="30">
        <v>0.35250000000000004</v>
      </c>
      <c r="BS15" s="30">
        <v>0.98999999999999999</v>
      </c>
      <c r="BT15" s="30">
        <v>48.899613901087264</v>
      </c>
      <c r="BU15" s="30">
        <v>17.165516848672148</v>
      </c>
      <c r="BV15" s="30">
        <v>51.100386098912743</v>
      </c>
      <c r="BW15" s="30">
        <v>-1.8268224154033867</v>
      </c>
      <c r="BX15" s="30">
        <v>-1.9139024460907375</v>
      </c>
      <c r="BY15" s="30">
        <v>0.19414433851894936</v>
      </c>
      <c r="BZ15" s="30">
        <v>1.75</v>
      </c>
    </row>
    <row r="16" s="162" customFormat="1" ht="19.5" customHeight="1">
      <c r="A16" s="52" t="s">
        <v>138</v>
      </c>
      <c r="B16" s="52">
        <v>1</v>
      </c>
      <c r="C16" s="165">
        <v>6.0999999999999996</v>
      </c>
      <c r="D16" s="165">
        <v>0.23756964725965071</v>
      </c>
      <c r="E16" s="49">
        <v>0.57498138119642472</v>
      </c>
      <c r="F16" s="49">
        <v>0.29661088398170554</v>
      </c>
      <c r="G16" s="30">
        <v>1.339</v>
      </c>
      <c r="H16" s="30">
        <v>0.91200000000000014</v>
      </c>
      <c r="I16" s="30">
        <v>0.42700000000000005</v>
      </c>
      <c r="J16" s="30">
        <v>8.7326513013154017</v>
      </c>
      <c r="K16" s="30">
        <v>10.327210249428873</v>
      </c>
      <c r="L16" s="30">
        <v>3</v>
      </c>
      <c r="M16" s="30">
        <v>0.071000000000000008</v>
      </c>
      <c r="N16" s="30">
        <v>3.1208848785425474</v>
      </c>
      <c r="O16" s="30">
        <v>0.45899999999999996</v>
      </c>
      <c r="P16" s="30">
        <v>0.10500000000000001</v>
      </c>
      <c r="Q16" s="30">
        <v>0.45300000000000001</v>
      </c>
      <c r="R16" s="30">
        <v>47.637047637191237</v>
      </c>
      <c r="S16" s="30">
        <v>12.818011907227401</v>
      </c>
      <c r="T16" s="30">
        <v>52.36295236280877</v>
      </c>
      <c r="U16" s="30">
        <v>-1.7099157526691033</v>
      </c>
      <c r="V16" s="30">
        <v>-1.666229892551194</v>
      </c>
      <c r="W16" s="30">
        <v>0.090435101626907238</v>
      </c>
      <c r="X16" s="30">
        <v>0.5</v>
      </c>
      <c r="Y16" s="97">
        <v>1.6152500000000001</v>
      </c>
      <c r="Z16" s="30">
        <v>1.2285000000000001</v>
      </c>
      <c r="AA16" s="30">
        <v>0.38675000000000004</v>
      </c>
      <c r="AB16" s="30">
        <v>17.030202900444664</v>
      </c>
      <c r="AC16" s="30">
        <v>14.044596014834941</v>
      </c>
      <c r="AD16" s="30">
        <v>4</v>
      </c>
      <c r="AE16" s="30">
        <v>0.064750000000000002</v>
      </c>
      <c r="AF16" s="30">
        <v>4.084558993704662</v>
      </c>
      <c r="AG16" s="30">
        <v>0.44700000000000006</v>
      </c>
      <c r="AH16" s="30">
        <v>0.16949999999999998</v>
      </c>
      <c r="AI16" s="30">
        <v>0.78150000000000008</v>
      </c>
      <c r="AJ16" s="30">
        <v>36.196739044921721</v>
      </c>
      <c r="AK16" s="30">
        <v>13.230781082002466</v>
      </c>
      <c r="AL16" s="30">
        <v>63.803260955078272</v>
      </c>
      <c r="AM16" s="30">
        <v>-1.5890469619705838</v>
      </c>
      <c r="AN16" s="30">
        <v>-1.6336298592900562</v>
      </c>
      <c r="AO16" s="30">
        <v>0.14622664745701031</v>
      </c>
      <c r="AP16" s="30">
        <v>1.25</v>
      </c>
      <c r="AQ16" s="30">
        <v>1.5785</v>
      </c>
      <c r="AR16" s="30">
        <v>1.0170000000000001</v>
      </c>
      <c r="AS16" s="30">
        <v>0.56150000000000011</v>
      </c>
      <c r="AT16" s="30">
        <v>8.7696375798816391</v>
      </c>
      <c r="AU16" s="30">
        <v>9.0749307877779977</v>
      </c>
      <c r="AV16" s="30">
        <v>5</v>
      </c>
      <c r="AW16" s="30">
        <v>0.05800000000000001</v>
      </c>
      <c r="AX16" s="30">
        <v>5.1213388341980099</v>
      </c>
      <c r="AY16" s="30">
        <v>0.29999999999999999</v>
      </c>
      <c r="AZ16" s="30">
        <v>0.092999999999999999</v>
      </c>
      <c r="BA16" s="30">
        <v>0.71700000000000008</v>
      </c>
      <c r="BB16" s="30">
        <v>28.510482604937032</v>
      </c>
      <c r="BC16" s="30">
        <v>9.3804125403576535</v>
      </c>
      <c r="BD16" s="30">
        <v>71.489517395062961</v>
      </c>
      <c r="BE16" s="30">
        <v>-1.6313841505363489</v>
      </c>
      <c r="BF16" s="30">
        <v>-1.5822206734012909</v>
      </c>
      <c r="BG16" s="30">
        <v>0.11292316547794493</v>
      </c>
      <c r="BH16" s="30">
        <v>1</v>
      </c>
      <c r="BI16" s="30">
        <v>2.1372499999999999</v>
      </c>
      <c r="BJ16" s="30">
        <v>1.5255000000000001</v>
      </c>
      <c r="BK16" s="30">
        <v>0.61175000000000002</v>
      </c>
      <c r="BL16" s="30">
        <v>16.91557284440912</v>
      </c>
      <c r="BM16" s="30">
        <v>12.061065782847628</v>
      </c>
      <c r="BN16" s="30">
        <v>6</v>
      </c>
      <c r="BO16" s="30">
        <v>0.049750000000000003</v>
      </c>
      <c r="BP16" s="30">
        <v>6.0681365335452595</v>
      </c>
      <c r="BQ16" s="30">
        <v>0.6855</v>
      </c>
      <c r="BR16" s="30">
        <v>0.16500000000000001</v>
      </c>
      <c r="BS16" s="30">
        <v>0.84000000000000008</v>
      </c>
      <c r="BT16" s="30">
        <v>42.932933831215337</v>
      </c>
      <c r="BU16" s="30">
        <v>11.119690269530986</v>
      </c>
      <c r="BV16" s="30">
        <v>57.067066168784649</v>
      </c>
      <c r="BW16" s="30">
        <v>-1.682056435021281</v>
      </c>
      <c r="BX16" s="30">
        <v>-1.8510424927763491</v>
      </c>
      <c r="BY16" s="30">
        <v>0.1039765714850871</v>
      </c>
      <c r="BZ16" s="30">
        <v>2</v>
      </c>
    </row>
    <row r="17" s="162" customFormat="1">
      <c r="A17" s="52" t="s">
        <v>138</v>
      </c>
      <c r="B17" s="59">
        <v>2</v>
      </c>
      <c r="C17" s="168">
        <v>6.1100000000000003</v>
      </c>
      <c r="D17" s="165">
        <v>0.13364038864145569</v>
      </c>
      <c r="E17" s="49">
        <v>0.4970343608375391</v>
      </c>
      <c r="F17" s="49">
        <v>0.50479481198791154</v>
      </c>
      <c r="G17" s="30">
        <v>0.91650000000000009</v>
      </c>
      <c r="H17" s="30">
        <v>0.46349999999999997</v>
      </c>
      <c r="I17" s="30">
        <v>0.45300000000000012</v>
      </c>
      <c r="J17" s="30">
        <v>8.9676655203434485</v>
      </c>
      <c r="K17" s="30">
        <v>19.377204552266868</v>
      </c>
      <c r="L17" s="30">
        <v>3</v>
      </c>
      <c r="M17" s="30">
        <v>0.070500000000000007</v>
      </c>
      <c r="N17" s="30">
        <v>3.1514698064450699</v>
      </c>
      <c r="O17" s="30">
        <v>0.20700000000000002</v>
      </c>
      <c r="P17" s="30">
        <v>0.076500000000000012</v>
      </c>
      <c r="Q17" s="30">
        <v>0.25650000000000001</v>
      </c>
      <c r="R17" s="30">
        <v>44.633847388126227</v>
      </c>
      <c r="S17" s="30">
        <v>16.519655910144412</v>
      </c>
      <c r="T17" s="30">
        <v>55.366152611873773</v>
      </c>
      <c r="U17" s="30">
        <v>-1.4097424379233476</v>
      </c>
      <c r="V17" s="30">
        <v>-1.428389588624742</v>
      </c>
      <c r="W17" s="30">
        <v>0.19136970886889915</v>
      </c>
      <c r="X17" s="30">
        <v>0</v>
      </c>
      <c r="Y17" s="97">
        <v>1.1259999999999999</v>
      </c>
      <c r="Z17" s="30">
        <v>0.60150000000000003</v>
      </c>
      <c r="AA17" s="30">
        <v>0.52449999999999997</v>
      </c>
      <c r="AB17" s="30">
        <v>16.682857158411029</v>
      </c>
      <c r="AC17" s="30">
        <v>28.004952789862408</v>
      </c>
      <c r="AD17" s="30">
        <v>4</v>
      </c>
      <c r="AE17" s="30">
        <v>0.057500000000000009</v>
      </c>
      <c r="AF17" s="30">
        <v>4.0545233997319094</v>
      </c>
      <c r="AG17" s="30">
        <v>0.26700000000000002</v>
      </c>
      <c r="AH17" s="30">
        <v>0.076500000000000012</v>
      </c>
      <c r="AI17" s="30">
        <v>0.33450000000000002</v>
      </c>
      <c r="AJ17" s="30">
        <v>44.4665403685933</v>
      </c>
      <c r="AK17" s="30">
        <v>12.743352683727833</v>
      </c>
      <c r="AL17" s="30">
        <v>55.5334596314067</v>
      </c>
      <c r="AM17" s="30">
        <v>-1.4029266477899263</v>
      </c>
      <c r="AN17" s="30">
        <v>-1.5003846905497449</v>
      </c>
      <c r="AO17" s="30">
        <v>0.18713799835192535</v>
      </c>
      <c r="AP17" s="30">
        <v>0</v>
      </c>
      <c r="AQ17" s="30">
        <v>0.99774999999999991</v>
      </c>
      <c r="AR17" s="30">
        <v>0.53000000000000003</v>
      </c>
      <c r="AS17" s="30">
        <v>0.48475000000000001</v>
      </c>
      <c r="AT17" s="30">
        <v>8.8488101481744383</v>
      </c>
      <c r="AU17" s="30">
        <v>16.731014992294831</v>
      </c>
      <c r="AV17" s="30">
        <v>5</v>
      </c>
      <c r="AW17" s="30">
        <v>0.046249999999999999</v>
      </c>
      <c r="AX17" s="30">
        <v>5.1413059707753064</v>
      </c>
      <c r="AY17" s="30">
        <v>0.19500000000000001</v>
      </c>
      <c r="AZ17" s="30">
        <v>0.078000000000000014</v>
      </c>
      <c r="BA17" s="30">
        <v>0.33800000000000008</v>
      </c>
      <c r="BB17" s="30">
        <v>38.24870624516015</v>
      </c>
      <c r="BC17" s="30">
        <v>15.275031640279867</v>
      </c>
      <c r="BD17" s="30">
        <v>61.751293754839843</v>
      </c>
      <c r="BE17" s="30">
        <v>-1.4390804419140797</v>
      </c>
      <c r="BF17" s="30">
        <v>-1.4141057079875645</v>
      </c>
      <c r="BG17" s="30">
        <v>0.20671730738023944</v>
      </c>
      <c r="BH17" s="30">
        <v>0</v>
      </c>
      <c r="BI17" s="30">
        <v>1.4075000000000002</v>
      </c>
      <c r="BJ17" s="30">
        <v>0.72800000000000009</v>
      </c>
      <c r="BK17" s="30">
        <v>0.6845</v>
      </c>
      <c r="BL17" s="30">
        <v>16.807489496472837</v>
      </c>
      <c r="BM17" s="30">
        <v>23.151312462511196</v>
      </c>
      <c r="BN17" s="30">
        <v>6</v>
      </c>
      <c r="BO17" s="30">
        <v>0.041499999999999995</v>
      </c>
      <c r="BP17" s="30">
        <v>6.0574105193712482</v>
      </c>
      <c r="BQ17" s="30">
        <v>0.26100000000000001</v>
      </c>
      <c r="BR17" s="30">
        <v>0.076499999999999999</v>
      </c>
      <c r="BS17" s="30">
        <v>0.47999999999999998</v>
      </c>
      <c r="BT17" s="30">
        <v>36.110807078693682</v>
      </c>
      <c r="BU17" s="30">
        <v>10.609708562190939</v>
      </c>
      <c r="BV17" s="30">
        <v>63.889192921306311</v>
      </c>
      <c r="BW17" s="30">
        <v>-1.4320199696377522</v>
      </c>
      <c r="BX17" s="30">
        <v>-1.4949055310720387</v>
      </c>
      <c r="BY17" s="30">
        <v>0.20419158821688849</v>
      </c>
      <c r="BZ17" s="30">
        <v>0</v>
      </c>
    </row>
    <row r="18">
      <c r="A18" s="43" t="s">
        <v>139</v>
      </c>
      <c r="B18" s="43">
        <v>1</v>
      </c>
      <c r="C18" s="126">
        <v>6.5</v>
      </c>
      <c r="D18" s="120">
        <v>1.0034407362465338</v>
      </c>
      <c r="E18" s="30">
        <v>-0.62565624207714698</v>
      </c>
      <c r="F18" s="30">
        <v>0.37128566619295722</v>
      </c>
      <c r="G18" s="30">
        <v>2.7857500000000002</v>
      </c>
      <c r="H18" s="30">
        <v>2.6535000000000002</v>
      </c>
      <c r="I18" s="30">
        <v>0.13225000000000003</v>
      </c>
      <c r="J18" s="30">
        <v>8.6712112313279217</v>
      </c>
      <c r="K18" s="30">
        <v>3.3442001495526754</v>
      </c>
      <c r="L18" s="30">
        <v>3</v>
      </c>
      <c r="M18" s="30">
        <v>0.065749999999999989</v>
      </c>
      <c r="N18" s="30">
        <v>3.1066286528898361</v>
      </c>
      <c r="O18" s="30">
        <v>2.0594999999999999</v>
      </c>
      <c r="P18" s="30">
        <v>1.3754999999999999</v>
      </c>
      <c r="Q18" s="30">
        <v>0.59400000000000031</v>
      </c>
      <c r="R18" s="30">
        <v>78.842540660459974</v>
      </c>
      <c r="S18" s="30">
        <v>52.536551193491732</v>
      </c>
      <c r="T18" s="30">
        <v>21.157459339540019</v>
      </c>
      <c r="U18" s="30">
        <v>-2.0058679499014764</v>
      </c>
      <c r="V18" s="30">
        <v>-2.2201713795730154</v>
      </c>
      <c r="W18" s="30">
        <v>0.083908873969969197</v>
      </c>
      <c r="X18" s="30">
        <v>1.5</v>
      </c>
      <c r="Y18" s="97">
        <v>3.5687500000000001</v>
      </c>
      <c r="Z18" s="30">
        <v>3.4770000000000003</v>
      </c>
      <c r="AA18" s="30">
        <v>0.091750000000000012</v>
      </c>
      <c r="AB18" s="30">
        <v>16.911990065370823</v>
      </c>
      <c r="AC18" s="30">
        <v>5.1730364352178704</v>
      </c>
      <c r="AD18" s="30">
        <v>4</v>
      </c>
      <c r="AE18" s="30">
        <v>0.02375</v>
      </c>
      <c r="AF18" s="30">
        <v>4.0571063303112282</v>
      </c>
      <c r="AG18" s="30">
        <v>2.3520000000000003</v>
      </c>
      <c r="AH18" s="30">
        <v>1.2749999999999999</v>
      </c>
      <c r="AI18" s="30">
        <v>1.1250000000000004</v>
      </c>
      <c r="AJ18" s="30">
        <v>66.990584298308477</v>
      </c>
      <c r="AK18" s="30">
        <v>34.309518917879743</v>
      </c>
      <c r="AL18" s="30">
        <v>33.009415701691537</v>
      </c>
      <c r="AM18" s="30">
        <v>-1.9441709286227464</v>
      </c>
      <c r="AN18" s="30">
        <v>-1.9788123045688308</v>
      </c>
      <c r="AO18" s="30">
        <v>0.41183038341201367</v>
      </c>
      <c r="AP18" s="30">
        <v>1</v>
      </c>
      <c r="AQ18" s="30">
        <v>3.2697500000000006</v>
      </c>
      <c r="AR18" s="30">
        <v>3.0930000000000004</v>
      </c>
      <c r="AS18" s="30">
        <v>0.17675000000000002</v>
      </c>
      <c r="AT18" s="30">
        <v>9.0131690544263066</v>
      </c>
      <c r="AU18" s="30">
        <v>2.94368166356836</v>
      </c>
      <c r="AV18" s="30">
        <v>5</v>
      </c>
      <c r="AW18" s="30">
        <v>0.045249999999999999</v>
      </c>
      <c r="AX18" s="30">
        <v>5.1509670085118504</v>
      </c>
      <c r="AY18" s="30">
        <v>1.7145000000000004</v>
      </c>
      <c r="AZ18" s="30">
        <v>0.65700000000000003</v>
      </c>
      <c r="BA18" s="30">
        <v>1.3785000000000001</v>
      </c>
      <c r="BB18" s="30">
        <v>55.310550215269508</v>
      </c>
      <c r="BC18" s="30">
        <v>21.351438847911769</v>
      </c>
      <c r="BD18" s="30">
        <v>44.689449784730492</v>
      </c>
      <c r="BE18" s="30">
        <v>-2.0340894741328412</v>
      </c>
      <c r="BF18" s="30">
        <v>-2.2830531462250274</v>
      </c>
      <c r="BG18" s="30">
        <v>0.12078195350083237</v>
      </c>
      <c r="BH18" s="30">
        <v>3</v>
      </c>
      <c r="BI18" s="30">
        <v>6.3157500000000013</v>
      </c>
      <c r="BJ18" s="30">
        <v>6.1845000000000008</v>
      </c>
      <c r="BK18" s="30">
        <v>0.13125000000000001</v>
      </c>
      <c r="BL18" s="30">
        <v>17.445969448173646</v>
      </c>
      <c r="BM18" s="30">
        <v>3.2153095738181294</v>
      </c>
      <c r="BN18" s="30">
        <v>6</v>
      </c>
      <c r="BO18" s="30">
        <v>0.059250000000000004</v>
      </c>
      <c r="BP18" s="30">
        <v>6.0646843558007424</v>
      </c>
      <c r="BQ18" s="30">
        <v>1.8734999999999999</v>
      </c>
      <c r="BR18" s="30">
        <v>2.754</v>
      </c>
      <c r="BS18" s="30">
        <v>4.3109999999999999</v>
      </c>
      <c r="BT18" s="30">
        <v>35.194603156067991</v>
      </c>
      <c r="BU18" s="30">
        <v>32.086079437066864</v>
      </c>
      <c r="BV18" s="30">
        <v>64.805396843932016</v>
      </c>
      <c r="BW18" s="30">
        <v>-2.1302461764030864</v>
      </c>
      <c r="BX18" s="30">
        <v>-2.3327032904605591</v>
      </c>
      <c r="BY18" s="30">
        <v>0.25639993895750268</v>
      </c>
      <c r="BZ18" s="30">
        <v>9</v>
      </c>
    </row>
    <row r="19" s="162" customFormat="1">
      <c r="A19" s="52" t="s">
        <v>138</v>
      </c>
      <c r="B19" s="52">
        <v>2</v>
      </c>
      <c r="C19" s="169">
        <v>7</v>
      </c>
      <c r="D19" s="165">
        <v>0.041777574426696114</v>
      </c>
      <c r="E19" s="49">
        <v>2.1649843731133815</v>
      </c>
      <c r="F19" s="49">
        <v>0.0022251242423000361</v>
      </c>
      <c r="G19" s="30">
        <v>2.6400000000000006</v>
      </c>
      <c r="H19" s="30">
        <v>1.518</v>
      </c>
      <c r="I19" s="30">
        <v>1.1219999999999999</v>
      </c>
      <c r="J19" s="30">
        <v>8.6007367110212378</v>
      </c>
      <c r="K19" s="30">
        <v>8.3287123232896594</v>
      </c>
      <c r="L19" s="30">
        <v>3</v>
      </c>
      <c r="M19" s="30">
        <v>0.076499999999999999</v>
      </c>
      <c r="N19" s="30">
        <v>3.0815786391935092</v>
      </c>
      <c r="O19" s="30">
        <v>0.96899999999999997</v>
      </c>
      <c r="P19" s="30">
        <v>-0.246</v>
      </c>
      <c r="Q19" s="30">
        <v>0.54900000000000015</v>
      </c>
      <c r="R19" s="30">
        <v>59.131304671505667</v>
      </c>
      <c r="S19" s="30">
        <v>-1.1934673366834172</v>
      </c>
      <c r="T19" s="30">
        <v>40.868695328494326</v>
      </c>
      <c r="U19" s="30">
        <v>-1.5474846722428532</v>
      </c>
      <c r="V19" s="30">
        <v>-1.6661206369547712</v>
      </c>
      <c r="W19" s="30">
        <v>0.20235871807140038</v>
      </c>
      <c r="X19" s="30">
        <v>0.5</v>
      </c>
      <c r="Y19" s="97">
        <v>1.141</v>
      </c>
      <c r="Z19" s="30">
        <v>0.91800000000000004</v>
      </c>
      <c r="AA19" s="30">
        <v>0.22300000000000003</v>
      </c>
      <c r="AB19" s="30">
        <v>17.954871181178589</v>
      </c>
      <c r="AC19" s="30">
        <v>19.558683203898244</v>
      </c>
      <c r="AD19" s="30">
        <v>4</v>
      </c>
      <c r="AE19" s="30">
        <v>0.04725</v>
      </c>
      <c r="AF19" s="30">
        <v>4.1589174283946795</v>
      </c>
      <c r="AG19" s="30">
        <v>0.47400000000000003</v>
      </c>
      <c r="AH19" s="30">
        <v>0.060000000000000005</v>
      </c>
      <c r="AI19" s="30">
        <v>0.44400000000000001</v>
      </c>
      <c r="AJ19" s="30">
        <v>51.633986928104576</v>
      </c>
      <c r="AK19" s="30">
        <v>6.5359477124183014</v>
      </c>
      <c r="AL19" s="30">
        <v>48.366013071895424</v>
      </c>
      <c r="AM19" s="30">
        <v>-1.6594394256037763</v>
      </c>
      <c r="AN19" s="30">
        <v>-1.6645913117487714</v>
      </c>
      <c r="AO19" s="30">
        <v>0.16587943861168181</v>
      </c>
      <c r="AP19" s="30">
        <v>0</v>
      </c>
      <c r="AQ19" s="30">
        <v>3.1860000000000004</v>
      </c>
      <c r="AR19" s="30">
        <v>2.262</v>
      </c>
      <c r="AS19" s="30">
        <v>0.92400000000000004</v>
      </c>
      <c r="AT19" s="30">
        <v>8.7093329867743634</v>
      </c>
      <c r="AU19" s="30">
        <v>3.8502798350019289</v>
      </c>
      <c r="AV19" s="30">
        <v>5</v>
      </c>
      <c r="AW19" s="30">
        <v>0.037249999999999998</v>
      </c>
      <c r="AX19" s="30">
        <v>5.1146642405531475</v>
      </c>
      <c r="AY19" s="30">
        <v>0.96000000000000008</v>
      </c>
      <c r="AZ19" s="30">
        <v>0.054000000000000006</v>
      </c>
      <c r="BA19" s="30">
        <v>1.302</v>
      </c>
      <c r="BB19" s="30">
        <v>42.440318302387276</v>
      </c>
      <c r="BC19" s="30">
        <v>2.3872679045092839</v>
      </c>
      <c r="BD19" s="30">
        <v>57.559681697612739</v>
      </c>
      <c r="BE19" s="30">
        <v>-1.4065919496926185</v>
      </c>
      <c r="BF19" s="30">
        <v>-1.7181290499779003</v>
      </c>
      <c r="BG19" s="30">
        <v>0.071542594905665266</v>
      </c>
      <c r="BH19" s="30">
        <v>2</v>
      </c>
      <c r="BI19" s="30">
        <v>2.3543333333333334</v>
      </c>
      <c r="BJ19" s="30">
        <v>1.8600000000000001</v>
      </c>
      <c r="BK19" s="30">
        <v>0.49433333333333335</v>
      </c>
      <c r="BL19" s="30">
        <v>17.02902643998895</v>
      </c>
      <c r="BM19" s="30">
        <v>9.5642701236654659</v>
      </c>
      <c r="BN19" s="30">
        <v>6</v>
      </c>
      <c r="BO19" s="30">
        <v>0.048500000000000001</v>
      </c>
      <c r="BP19" s="30">
        <v>6.0763884896126079</v>
      </c>
      <c r="BQ19" s="30">
        <v>0.9880000000000001</v>
      </c>
      <c r="BR19" s="30">
        <v>0.46799999999999997</v>
      </c>
      <c r="BS19" s="30">
        <v>0.87200000000000022</v>
      </c>
      <c r="BT19" s="30">
        <v>52.839546840486719</v>
      </c>
      <c r="BU19" s="30">
        <v>27.839100371796203</v>
      </c>
      <c r="BV19" s="30">
        <v>47.160453159513281</v>
      </c>
      <c r="BW19" s="30">
        <v>-1.6901399376833925</v>
      </c>
      <c r="BX19" s="30">
        <v>-1.7868332169633281</v>
      </c>
      <c r="BY19" s="30">
        <v>0.25660145420656127</v>
      </c>
      <c r="BZ19" s="30">
        <v>1.5</v>
      </c>
    </row>
    <row r="20" s="162" customFormat="1">
      <c r="A20" s="52" t="s">
        <v>138</v>
      </c>
      <c r="B20" s="52">
        <v>2</v>
      </c>
      <c r="C20" s="169">
        <v>7</v>
      </c>
      <c r="D20" s="165">
        <v>0.71201704839819591</v>
      </c>
      <c r="E20" s="49">
        <v>-0.81497195183050641</v>
      </c>
      <c r="F20" s="49">
        <v>0.6676644140044472</v>
      </c>
      <c r="G20" s="30">
        <v>0.99600000000000011</v>
      </c>
      <c r="H20" s="30"/>
      <c r="I20" s="30">
        <v>0.15000000000000002</v>
      </c>
      <c r="J20" s="30"/>
      <c r="K20" s="30"/>
      <c r="L20" s="30">
        <v>3</v>
      </c>
      <c r="M20" s="30">
        <v>0.048750000000000002</v>
      </c>
      <c r="N20" s="30">
        <v>2.8692067915094079</v>
      </c>
      <c r="O20" s="30">
        <v>0.61199999999999999</v>
      </c>
      <c r="P20" s="30">
        <v>0.438</v>
      </c>
      <c r="Q20" s="30"/>
      <c r="R20" s="30">
        <v>72.340425531914875</v>
      </c>
      <c r="S20" s="30">
        <v>51.77304964539006</v>
      </c>
      <c r="T20" s="30">
        <v>27.659574468085115</v>
      </c>
      <c r="U20" s="30">
        <v>-1.5587132221306084</v>
      </c>
      <c r="V20" s="30">
        <v>-1.762463995064824</v>
      </c>
      <c r="W20" s="30">
        <v>0.038711711897318341</v>
      </c>
      <c r="X20" s="30">
        <v>0</v>
      </c>
      <c r="Y20" s="97">
        <v>2.5946666666666669</v>
      </c>
      <c r="Z20" s="30">
        <v>2.3839999999999999</v>
      </c>
      <c r="AA20" s="30">
        <v>0.21066666666666667</v>
      </c>
      <c r="AB20" s="30">
        <v>17.533437682429312</v>
      </c>
      <c r="AC20" s="30">
        <v>7.4591021096533012</v>
      </c>
      <c r="AD20" s="30">
        <v>4</v>
      </c>
      <c r="AE20" s="30">
        <v>0.05850000000000001</v>
      </c>
      <c r="AF20" s="30">
        <v>4.0445352708153708</v>
      </c>
      <c r="AG20" s="30">
        <v>1.7000000000000002</v>
      </c>
      <c r="AH20" s="30">
        <v>1.1859999999999999</v>
      </c>
      <c r="AI20" s="30">
        <v>0.68399999999999983</v>
      </c>
      <c r="AJ20" s="30">
        <v>69.642592251769926</v>
      </c>
      <c r="AK20" s="30">
        <v>50.092608010760905</v>
      </c>
      <c r="AL20" s="30">
        <v>30.357407748230074</v>
      </c>
      <c r="AM20" s="30">
        <v>-2.0711386628601374</v>
      </c>
      <c r="AN20" s="30">
        <v>-2.0693859988866237</v>
      </c>
      <c r="AO20" s="30">
        <v>0.25998739318964142</v>
      </c>
      <c r="AP20" s="30">
        <v>1.3333333333333333</v>
      </c>
      <c r="AQ20" s="30">
        <v>2.2352500000000002</v>
      </c>
      <c r="AR20" s="30">
        <v>2.0295000000000001</v>
      </c>
      <c r="AS20" s="30">
        <v>0.20575000000000002</v>
      </c>
      <c r="AT20" s="30">
        <v>8.5447075927979181</v>
      </c>
      <c r="AU20" s="30">
        <v>4.2592104408135008</v>
      </c>
      <c r="AV20" s="30">
        <v>5</v>
      </c>
      <c r="AW20" s="30">
        <v>0.058250000000000003</v>
      </c>
      <c r="AX20" s="30">
        <v>5.0789572353541876</v>
      </c>
      <c r="AY20" s="30">
        <v>1.206</v>
      </c>
      <c r="AZ20" s="30">
        <v>0.80400000000000005</v>
      </c>
      <c r="BA20" s="30">
        <v>0.8234999999999999</v>
      </c>
      <c r="BB20" s="30">
        <v>58.113546523989115</v>
      </c>
      <c r="BC20" s="30">
        <v>39.128450898011785</v>
      </c>
      <c r="BD20" s="30">
        <v>41.886453476010892</v>
      </c>
      <c r="BE20" s="30">
        <v>-1.9797891483651722</v>
      </c>
      <c r="BF20" s="30">
        <v>-2.131777256353582</v>
      </c>
      <c r="BG20" s="30">
        <v>0.082088003890998629</v>
      </c>
      <c r="BH20" s="30">
        <v>1.25</v>
      </c>
      <c r="BI20" s="30">
        <v>3.8059999999999996</v>
      </c>
      <c r="BJ20" s="30">
        <v>3.512</v>
      </c>
      <c r="BK20" s="30">
        <v>0.29400000000000004</v>
      </c>
      <c r="BL20" s="30">
        <v>17.067924097293915</v>
      </c>
      <c r="BM20" s="30">
        <v>4.9523256878734774</v>
      </c>
      <c r="BN20" s="30">
        <v>6</v>
      </c>
      <c r="BO20" s="30">
        <v>0.03875</v>
      </c>
      <c r="BP20" s="30">
        <v>6.0774579485959954</v>
      </c>
      <c r="BQ20" s="30">
        <v>1.5640000000000001</v>
      </c>
      <c r="BR20" s="30">
        <v>0.58600000000000008</v>
      </c>
      <c r="BS20" s="30">
        <v>1.9479999999999997</v>
      </c>
      <c r="BT20" s="30">
        <v>42.575250107876833</v>
      </c>
      <c r="BU20" s="30">
        <v>16.588177006307063</v>
      </c>
      <c r="BV20" s="30">
        <v>57.424749892123167</v>
      </c>
      <c r="BW20" s="30">
        <v>-1.8378861843663579</v>
      </c>
      <c r="BX20" s="30">
        <v>-1.8952922346727756</v>
      </c>
      <c r="BY20" s="30">
        <v>0.20436661100696241</v>
      </c>
      <c r="BZ20" s="30">
        <v>5.666666666666667</v>
      </c>
    </row>
    <row r="21">
      <c r="A21" s="43" t="s">
        <v>139</v>
      </c>
      <c r="B21" s="43">
        <v>2</v>
      </c>
      <c r="C21" s="126">
        <v>7</v>
      </c>
      <c r="D21" s="120">
        <v>0.19251858880158781</v>
      </c>
      <c r="E21" s="30">
        <v>0.79016133760512397</v>
      </c>
      <c r="F21" s="30">
        <v>0.088013423682410274</v>
      </c>
      <c r="G21" s="30">
        <v>1.1652500000000001</v>
      </c>
      <c r="H21" s="30">
        <v>0.78449999999999998</v>
      </c>
      <c r="I21" s="30">
        <v>0.38075000000000003</v>
      </c>
      <c r="J21" s="30">
        <v>7.8194234186200875</v>
      </c>
      <c r="K21" s="30">
        <v>10.583668165502546</v>
      </c>
      <c r="L21" s="30">
        <v>3</v>
      </c>
      <c r="M21" s="30">
        <v>0.03925</v>
      </c>
      <c r="N21" s="30">
        <v>2.9621121783134741</v>
      </c>
      <c r="O21" s="30">
        <v>0.35850000000000004</v>
      </c>
      <c r="P21" s="30">
        <v>0.2475</v>
      </c>
      <c r="Q21" s="30">
        <v>0.42599999999999999</v>
      </c>
      <c r="R21" s="30">
        <v>47.039833612839573</v>
      </c>
      <c r="S21" s="30">
        <v>30.747280700912928</v>
      </c>
      <c r="T21" s="30">
        <v>52.960166387160427</v>
      </c>
      <c r="U21" s="30">
        <v>-1.5943126085529724</v>
      </c>
      <c r="V21" s="30">
        <v>-1.5420888009102485</v>
      </c>
      <c r="W21" s="30">
        <v>0.051313568233798165</v>
      </c>
      <c r="X21" s="30">
        <v>0.5</v>
      </c>
      <c r="Y21" s="97">
        <v>2.1230000000000002</v>
      </c>
      <c r="Z21" s="30">
        <v>1.3320000000000001</v>
      </c>
      <c r="AA21" s="30">
        <v>0.79100000000000004</v>
      </c>
      <c r="AB21" s="30">
        <v>16.552294382288878</v>
      </c>
      <c r="AC21" s="30">
        <v>15.411350715017699</v>
      </c>
      <c r="AD21" s="30">
        <v>4</v>
      </c>
      <c r="AE21" s="30">
        <v>0.055000000000000007</v>
      </c>
      <c r="AF21" s="30">
        <v>4.0366576718109837</v>
      </c>
      <c r="AG21" s="30">
        <v>0.78900000000000015</v>
      </c>
      <c r="AH21" s="30">
        <v>0.72900000000000009</v>
      </c>
      <c r="AI21" s="30">
        <v>0.54300000000000004</v>
      </c>
      <c r="AJ21" s="30">
        <v>55.386031166034662</v>
      </c>
      <c r="AK21" s="30">
        <v>45.069441606820973</v>
      </c>
      <c r="AL21" s="30">
        <v>44.613968833965338</v>
      </c>
      <c r="AM21" s="30">
        <v>-1.6058265077880349</v>
      </c>
      <c r="AN21" s="30">
        <v>-1.7099892220894506</v>
      </c>
      <c r="AO21" s="30">
        <v>0.14517267294556105</v>
      </c>
      <c r="AP21" s="30">
        <v>0.75</v>
      </c>
      <c r="AQ21" s="30">
        <v>1.0983333333333334</v>
      </c>
      <c r="AR21" s="30">
        <v>0.66600000000000004</v>
      </c>
      <c r="AS21" s="30">
        <v>0.4323333333333334</v>
      </c>
      <c r="AT21" s="30">
        <v>8.9335960711324205</v>
      </c>
      <c r="AU21" s="30">
        <v>13.731106782597742</v>
      </c>
      <c r="AV21" s="30">
        <v>5</v>
      </c>
      <c r="AW21" s="30">
        <v>0.068750000000000006</v>
      </c>
      <c r="AX21" s="30">
        <v>5.1522991575145243</v>
      </c>
      <c r="AY21" s="30">
        <v>0.22200000000000006</v>
      </c>
      <c r="AZ21" s="30">
        <v>0.106</v>
      </c>
      <c r="BA21" s="30">
        <v>0.44400000000000012</v>
      </c>
      <c r="BB21" s="30">
        <v>33.995194705109029</v>
      </c>
      <c r="BC21" s="30">
        <v>15.942699125073666</v>
      </c>
      <c r="BD21" s="30">
        <v>66.004805294890971</v>
      </c>
      <c r="BE21" s="30">
        <v>-1.5299378861300577</v>
      </c>
      <c r="BF21" s="30">
        <v>-1.4373369897673822</v>
      </c>
      <c r="BG21" s="30">
        <v>0.091755199674063717</v>
      </c>
      <c r="BH21" s="30">
        <v>0.33333333333333331</v>
      </c>
      <c r="BI21" s="30">
        <v>2.14175</v>
      </c>
      <c r="BJ21" s="30">
        <v>1.2840000000000003</v>
      </c>
      <c r="BK21" s="30">
        <v>0.85775000000000001</v>
      </c>
      <c r="BL21" s="30">
        <v>16.704887665028046</v>
      </c>
      <c r="BM21" s="30">
        <v>14.63329200136371</v>
      </c>
      <c r="BN21" s="30">
        <v>6</v>
      </c>
      <c r="BO21" s="30">
        <v>0.060250000000000005</v>
      </c>
      <c r="BP21" s="30">
        <v>6.0520368750691871</v>
      </c>
      <c r="BQ21" s="30">
        <v>0.62550000000000006</v>
      </c>
      <c r="BR21" s="30">
        <v>0.41100000000000003</v>
      </c>
      <c r="BS21" s="30">
        <v>0.65850000000000009</v>
      </c>
      <c r="BT21" s="30">
        <v>45.054669082770033</v>
      </c>
      <c r="BU21" s="30">
        <v>24.512709871239252</v>
      </c>
      <c r="BV21" s="30">
        <v>54.945330917229967</v>
      </c>
      <c r="BW21" s="30">
        <v>-1.511754946652536</v>
      </c>
      <c r="BX21" s="30">
        <v>-1.6305558513227809</v>
      </c>
      <c r="BY21" s="30">
        <v>0.20807528965371097</v>
      </c>
      <c r="BZ21" s="30">
        <v>1</v>
      </c>
    </row>
    <row r="22">
      <c r="A22" s="42" t="s">
        <v>139</v>
      </c>
      <c r="B22" s="43">
        <v>2</v>
      </c>
      <c r="C22" s="119">
        <v>7.0099999999999998</v>
      </c>
      <c r="D22" s="120">
        <v>0.13760761184649664</v>
      </c>
      <c r="E22" s="30">
        <v>0.37870769470298765</v>
      </c>
      <c r="F22" s="30">
        <v>0.40739993659724438</v>
      </c>
      <c r="G22" s="30">
        <v>0.81200000000000006</v>
      </c>
      <c r="H22" s="30">
        <v>0.56850000000000001</v>
      </c>
      <c r="I22" s="30">
        <v>0.24349999999999999</v>
      </c>
      <c r="J22" s="30">
        <v>8.3199463457049578</v>
      </c>
      <c r="K22" s="30">
        <v>14.833611592024273</v>
      </c>
      <c r="L22" s="30">
        <v>3</v>
      </c>
      <c r="M22" s="30">
        <v>0.047500000000000001</v>
      </c>
      <c r="N22" s="30">
        <v>3.04819724662201</v>
      </c>
      <c r="O22" s="30">
        <v>0.31200000000000006</v>
      </c>
      <c r="P22" s="30">
        <v>0.094500000000000001</v>
      </c>
      <c r="Q22" s="30">
        <v>0.25650000000000006</v>
      </c>
      <c r="R22" s="30">
        <v>55.457028265851797</v>
      </c>
      <c r="S22" s="30">
        <v>16.442258721670488</v>
      </c>
      <c r="T22" s="30">
        <v>44.542971734148203</v>
      </c>
      <c r="U22" s="30">
        <v>-1.4945413782728827</v>
      </c>
      <c r="V22" s="30">
        <v>-1.5785493831772757</v>
      </c>
      <c r="W22" s="30">
        <v>0.11386772990014023</v>
      </c>
      <c r="X22" s="30">
        <v>0</v>
      </c>
      <c r="Y22" s="97">
        <v>0.96000000000000019</v>
      </c>
      <c r="Z22" s="30">
        <v>0.66225000000000001</v>
      </c>
      <c r="AA22" s="30">
        <v>0.29775000000000007</v>
      </c>
      <c r="AB22" s="30">
        <v>16.900861972280531</v>
      </c>
      <c r="AC22" s="30">
        <v>27.598292026488206</v>
      </c>
      <c r="AD22" s="30">
        <v>4</v>
      </c>
      <c r="AE22" s="30">
        <v>0.044499999999999998</v>
      </c>
      <c r="AF22" s="30">
        <v>4.0752274121406966</v>
      </c>
      <c r="AG22" s="30">
        <v>0.42825000000000008</v>
      </c>
      <c r="AH22" s="30">
        <v>0.25875000000000004</v>
      </c>
      <c r="AI22" s="30">
        <v>0.23400000000000004</v>
      </c>
      <c r="AJ22" s="30">
        <v>63.009259259259252</v>
      </c>
      <c r="AK22" s="30">
        <v>35.217236467236468</v>
      </c>
      <c r="AL22" s="30">
        <v>36.99074074074074</v>
      </c>
      <c r="AM22" s="30">
        <v>-1.4708779835127725</v>
      </c>
      <c r="AN22" s="30">
        <v>-1.5663212172428613</v>
      </c>
      <c r="AO22" s="30">
        <v>0.16814906428655441</v>
      </c>
      <c r="AP22" s="30">
        <v>0</v>
      </c>
      <c r="AQ22" s="30">
        <v>0.98550000000000004</v>
      </c>
      <c r="AR22" s="30">
        <v>0.75600000000000001</v>
      </c>
      <c r="AS22" s="30">
        <v>0.22950000000000004</v>
      </c>
      <c r="AT22" s="30">
        <v>8.8354268325846732</v>
      </c>
      <c r="AU22" s="30">
        <v>11.975845337663721</v>
      </c>
      <c r="AV22" s="30">
        <v>5</v>
      </c>
      <c r="AW22" s="30">
        <v>0.064500000000000002</v>
      </c>
      <c r="AX22" s="30">
        <v>5.0932608050427364</v>
      </c>
      <c r="AY22" s="30">
        <v>0.27300000000000002</v>
      </c>
      <c r="AZ22" s="30">
        <v>0.14700000000000002</v>
      </c>
      <c r="BA22" s="30">
        <v>0.48299999999999998</v>
      </c>
      <c r="BB22" s="30">
        <v>37.257732847874252</v>
      </c>
      <c r="BC22" s="30">
        <v>20.174913860106319</v>
      </c>
      <c r="BD22" s="30">
        <v>62.742267152125763</v>
      </c>
      <c r="BE22" s="30">
        <v>-1.4211896255125682</v>
      </c>
      <c r="BF22" s="30">
        <v>-1.4481721511447909</v>
      </c>
      <c r="BG22" s="30">
        <v>0.049303255083473822</v>
      </c>
      <c r="BH22" s="30">
        <v>0.75</v>
      </c>
      <c r="BI22" s="30">
        <v>1.2883333333333333</v>
      </c>
      <c r="BJ22" s="30">
        <v>1.0400000000000003</v>
      </c>
      <c r="BK22" s="30">
        <v>0.24833333333333338</v>
      </c>
      <c r="BL22" s="30">
        <v>17.364983511830406</v>
      </c>
      <c r="BM22" s="30">
        <v>19.675441709763863</v>
      </c>
      <c r="BN22" s="30">
        <v>6</v>
      </c>
      <c r="BO22" s="30">
        <v>0.057500000000000009</v>
      </c>
      <c r="BP22" s="30">
        <v>6.0676922816810306</v>
      </c>
      <c r="BQ22" s="30">
        <v>0.41599999999999998</v>
      </c>
      <c r="BR22" s="30">
        <v>0.23000000000000001</v>
      </c>
      <c r="BS22" s="30">
        <v>0.624</v>
      </c>
      <c r="BT22" s="30">
        <v>42.182583962367353</v>
      </c>
      <c r="BU22" s="30">
        <v>18.963200457785295</v>
      </c>
      <c r="BV22" s="30">
        <v>57.817416037632647</v>
      </c>
      <c r="BW22" s="30">
        <v>-1.5632353692939802</v>
      </c>
      <c r="BX22" s="30">
        <v>-1.6747019338913043</v>
      </c>
      <c r="BY22" s="30">
        <v>0.3455089983404353</v>
      </c>
      <c r="BZ22" s="30">
        <v>1</v>
      </c>
    </row>
    <row r="23">
      <c r="A23" s="42" t="s">
        <v>139</v>
      </c>
      <c r="B23" s="43">
        <v>1</v>
      </c>
      <c r="C23" s="119">
        <v>7.0099999999999998</v>
      </c>
      <c r="D23" s="120">
        <v>0.45933124103925099</v>
      </c>
      <c r="E23" s="30">
        <v>0.33087055051070668</v>
      </c>
      <c r="F23" s="30">
        <v>0.36739383612032506</v>
      </c>
      <c r="G23" s="30">
        <v>1.6400000000000001</v>
      </c>
      <c r="H23" s="30">
        <v>1.095</v>
      </c>
      <c r="I23" s="30">
        <v>0.54500000000000004</v>
      </c>
      <c r="J23" s="30">
        <v>8.4725422417730378</v>
      </c>
      <c r="K23" s="30">
        <v>8.0015394900597556</v>
      </c>
      <c r="L23" s="30">
        <v>3</v>
      </c>
      <c r="M23" s="30">
        <v>0.052000000000000005</v>
      </c>
      <c r="N23" s="30">
        <v>3.0735271607918211</v>
      </c>
      <c r="O23" s="30">
        <v>0.47999999999999998</v>
      </c>
      <c r="P23" s="30">
        <v>0.21150000000000002</v>
      </c>
      <c r="Q23" s="30">
        <v>0.61499999999999999</v>
      </c>
      <c r="R23" s="30">
        <v>45.641715632027577</v>
      </c>
      <c r="S23" s="30">
        <v>21.560282974144499</v>
      </c>
      <c r="T23" s="30">
        <v>54.358284367972416</v>
      </c>
      <c r="U23" s="30">
        <v>-1.7007114000137342</v>
      </c>
      <c r="V23" s="30">
        <v>-1.6621163854866663</v>
      </c>
      <c r="W23" s="30">
        <v>0.12649792796492176</v>
      </c>
      <c r="X23" s="30">
        <v>1.25</v>
      </c>
      <c r="Y23" s="97">
        <v>2.5254999999999996</v>
      </c>
      <c r="Z23" s="30">
        <v>1.7175000000000005</v>
      </c>
      <c r="AA23" s="30">
        <v>0.80800000000000005</v>
      </c>
      <c r="AB23" s="30">
        <v>16.526112817649466</v>
      </c>
      <c r="AC23" s="30">
        <v>11.156894436485885</v>
      </c>
      <c r="AD23" s="30">
        <v>4</v>
      </c>
      <c r="AE23" s="30">
        <v>0.049999999999999996</v>
      </c>
      <c r="AF23" s="30">
        <v>4.0324400947276331</v>
      </c>
      <c r="AG23" s="30">
        <v>0.77549999999999997</v>
      </c>
      <c r="AH23" s="30">
        <v>0.53549999999999998</v>
      </c>
      <c r="AI23" s="30">
        <v>0.94200000000000017</v>
      </c>
      <c r="AJ23" s="30">
        <v>45.367739586416455</v>
      </c>
      <c r="AK23" s="30">
        <v>31.209274821953937</v>
      </c>
      <c r="AL23" s="30">
        <v>54.632260413583552</v>
      </c>
      <c r="AM23" s="30">
        <v>-1.5717468950200351</v>
      </c>
      <c r="AN23" s="30">
        <v>-1.6982855696868928</v>
      </c>
      <c r="AO23" s="30">
        <v>0.1993550509896353</v>
      </c>
      <c r="AP23" s="30">
        <v>1.75</v>
      </c>
      <c r="AQ23" s="30">
        <v>2.1905000000000001</v>
      </c>
      <c r="AR23" s="30">
        <v>1.6440000000000001</v>
      </c>
      <c r="AS23" s="30">
        <v>0.54649999999999999</v>
      </c>
      <c r="AT23" s="30">
        <v>9.2578755388329057</v>
      </c>
      <c r="AU23" s="30">
        <v>5.6928239068293145</v>
      </c>
      <c r="AV23" s="30">
        <v>5</v>
      </c>
      <c r="AW23" s="30">
        <v>0.056500000000000009</v>
      </c>
      <c r="AX23" s="30">
        <v>5.1868413440319259</v>
      </c>
      <c r="AY23" s="30">
        <v>0.45000000000000001</v>
      </c>
      <c r="AZ23" s="30">
        <v>-0.29699999999999999</v>
      </c>
      <c r="BA23" s="30">
        <v>1.1940000000000002</v>
      </c>
      <c r="BB23" s="30">
        <v>26.704008555545567</v>
      </c>
      <c r="BC23" s="30">
        <v>-16.961833546285067</v>
      </c>
      <c r="BD23" s="30">
        <v>73.29599144445443</v>
      </c>
      <c r="BE23" s="30">
        <v>-1.7215606418798681</v>
      </c>
      <c r="BF23" s="30">
        <v>-1.6669369559499896</v>
      </c>
      <c r="BG23" s="30">
        <v>0.1185548290268396</v>
      </c>
      <c r="BH23" s="30">
        <v>2.5</v>
      </c>
      <c r="BI23" s="30">
        <v>3.3850000000000007</v>
      </c>
      <c r="BJ23" s="30">
        <v>1.7175000000000005</v>
      </c>
      <c r="BK23" s="30">
        <v>1.6674999999999998</v>
      </c>
      <c r="BL23" s="30">
        <v>16.473733468056466</v>
      </c>
      <c r="BM23" s="30">
        <v>9.7832965254348494</v>
      </c>
      <c r="BN23" s="30">
        <v>6</v>
      </c>
      <c r="BO23" s="30">
        <v>0.041000000000000002</v>
      </c>
      <c r="BP23" s="30">
        <v>6.0327853202357495</v>
      </c>
      <c r="BQ23" s="30">
        <v>0.79049999999999998</v>
      </c>
      <c r="BR23" s="30">
        <v>0.42899999999999999</v>
      </c>
      <c r="BS23" s="30">
        <v>0.92699999999999994</v>
      </c>
      <c r="BT23" s="30">
        <v>46.295999722480204</v>
      </c>
      <c r="BU23" s="30">
        <v>25.042474214505884</v>
      </c>
      <c r="BV23" s="30">
        <v>53.704000277519796</v>
      </c>
      <c r="BW23" s="30">
        <v>-1.6543233359991021</v>
      </c>
      <c r="BX23" s="30">
        <v>-1.7400404945660533</v>
      </c>
      <c r="BY23" s="30">
        <v>0.19200218496785881</v>
      </c>
      <c r="BZ23" s="30">
        <v>2</v>
      </c>
    </row>
    <row r="24" s="162" customFormat="1">
      <c r="A24" s="52" t="s">
        <v>138</v>
      </c>
      <c r="B24" s="47">
        <v>1</v>
      </c>
      <c r="C24" s="164">
        <v>7.0099999999999998</v>
      </c>
      <c r="D24" s="165">
        <v>0.17661606931290652</v>
      </c>
      <c r="E24" s="49">
        <v>0.92826602438553618</v>
      </c>
      <c r="F24" s="49">
        <v>0.11790541460617776</v>
      </c>
      <c r="G24" s="30">
        <v>1.5037499999999999</v>
      </c>
      <c r="H24" s="30">
        <v>0.79349999999999998</v>
      </c>
      <c r="I24" s="30">
        <v>0.71025000000000005</v>
      </c>
      <c r="J24" s="30">
        <v>9.4447787242441752</v>
      </c>
      <c r="K24" s="30">
        <v>12.479135302189039</v>
      </c>
      <c r="L24" s="30">
        <v>3</v>
      </c>
      <c r="M24" s="30">
        <v>0.056250000000000008</v>
      </c>
      <c r="N24" s="30">
        <v>3.2121869289058873</v>
      </c>
      <c r="O24" s="30">
        <v>0.38100000000000001</v>
      </c>
      <c r="P24" s="30">
        <v>0.21749999999999997</v>
      </c>
      <c r="Q24" s="30">
        <v>0.41249999999999998</v>
      </c>
      <c r="R24" s="30">
        <v>49.045397506949811</v>
      </c>
      <c r="S24" s="30">
        <v>27.241636432542908</v>
      </c>
      <c r="T24" s="30">
        <v>50.954602493050189</v>
      </c>
      <c r="U24" s="30">
        <v>-1.450986885826175</v>
      </c>
      <c r="V24" s="30">
        <v>-1.5446951217773426</v>
      </c>
      <c r="W24" s="30">
        <v>0.11331551724471026</v>
      </c>
      <c r="X24" s="30">
        <v>1</v>
      </c>
      <c r="Y24" s="97">
        <v>1.6335000000000002</v>
      </c>
      <c r="Z24" s="30">
        <v>0.86550000000000016</v>
      </c>
      <c r="AA24" s="30">
        <v>0.76800000000000002</v>
      </c>
      <c r="AB24" s="30">
        <v>17.217226392045305</v>
      </c>
      <c r="AC24" s="30">
        <v>21.034410469797379</v>
      </c>
      <c r="AD24" s="30">
        <v>4</v>
      </c>
      <c r="AE24" s="30">
        <v>0.033000000000000002</v>
      </c>
      <c r="AF24" s="30">
        <v>4.0992842572955173</v>
      </c>
      <c r="AG24" s="30">
        <v>0.44400000000000006</v>
      </c>
      <c r="AH24" s="30">
        <v>0.1545</v>
      </c>
      <c r="AI24" s="30">
        <v>0.4215000000000001</v>
      </c>
      <c r="AJ24" s="30">
        <v>53.502410579616459</v>
      </c>
      <c r="AK24" s="30">
        <v>17.154393808805573</v>
      </c>
      <c r="AL24" s="30">
        <v>46.497589420383534</v>
      </c>
      <c r="AM24" s="30">
        <v>-1.5162056636766468</v>
      </c>
      <c r="AN24" s="30">
        <v>-1.6127706933973811</v>
      </c>
      <c r="AO24" s="30">
        <v>0.17833705839415609</v>
      </c>
      <c r="AP24" s="30">
        <v>0.25</v>
      </c>
      <c r="AQ24" s="30">
        <v>1.8795000000000002</v>
      </c>
      <c r="AR24" s="30">
        <v>0.69000000000000006</v>
      </c>
      <c r="AS24" s="30">
        <v>1.0185</v>
      </c>
      <c r="AT24" s="30">
        <v>8.9134835466552644</v>
      </c>
      <c r="AU24" s="30">
        <v>13.177191998280788</v>
      </c>
      <c r="AV24" s="30">
        <v>5</v>
      </c>
      <c r="AW24" s="30">
        <v>0.070499999999999993</v>
      </c>
      <c r="AX24" s="30">
        <v>5.1615201321630026</v>
      </c>
      <c r="AY24" s="30">
        <v>0.35400000000000004</v>
      </c>
      <c r="AZ24" s="30">
        <v>0.159</v>
      </c>
      <c r="BA24" s="30">
        <v>0.42900000000000005</v>
      </c>
      <c r="BB24" s="30">
        <v>41.310794125982866</v>
      </c>
      <c r="BC24" s="30">
        <v>19.492878870543393</v>
      </c>
      <c r="BD24" s="30">
        <v>58.689205874017134</v>
      </c>
      <c r="BE24" s="30">
        <v>-1.4519992022727153</v>
      </c>
      <c r="BF24" s="30">
        <v>-1.5236150223241618</v>
      </c>
      <c r="BG24" s="30">
        <v>0.17034807638278027</v>
      </c>
      <c r="BH24" s="30">
        <v>0.75</v>
      </c>
      <c r="BI24" s="30">
        <v>1.9740000000000002</v>
      </c>
      <c r="BJ24" s="30">
        <v>1.1360000000000001</v>
      </c>
      <c r="BK24" s="30">
        <v>0.70950000000000002</v>
      </c>
      <c r="BL24" s="30">
        <v>17.02344040803596</v>
      </c>
      <c r="BM24" s="30">
        <v>15.724497269800461</v>
      </c>
      <c r="BN24" s="30">
        <v>6</v>
      </c>
      <c r="BO24" s="30">
        <v>0.039000000000000007</v>
      </c>
      <c r="BP24" s="30">
        <v>6.085262838287985</v>
      </c>
      <c r="BQ24" s="30">
        <v>0.46950000000000003</v>
      </c>
      <c r="BR24" s="30">
        <v>0.15600000000000003</v>
      </c>
      <c r="BS24" s="30">
        <v>0.68000000000000005</v>
      </c>
      <c r="BT24" s="30">
        <v>39.338389038366351</v>
      </c>
      <c r="BU24" s="30">
        <v>13.067863737895498</v>
      </c>
      <c r="BV24" s="30">
        <v>60.661610961633656</v>
      </c>
      <c r="BW24" s="30">
        <v>-1.5659301310125731</v>
      </c>
      <c r="BX24" s="30">
        <v>-1.6519885270102752</v>
      </c>
      <c r="BY24" s="30">
        <v>0.20225816224078758</v>
      </c>
      <c r="BZ24" s="30">
        <v>1.25</v>
      </c>
    </row>
    <row r="25">
      <c r="A25" s="43" t="s">
        <v>139</v>
      </c>
      <c r="B25" s="43">
        <v>2</v>
      </c>
      <c r="C25" s="126">
        <v>7.0300000000000002</v>
      </c>
      <c r="D25" s="120">
        <v>0.27558822736122757</v>
      </c>
      <c r="E25" s="30">
        <v>0.78964451820720227</v>
      </c>
      <c r="F25" s="30">
        <v>0.34755156974967072</v>
      </c>
      <c r="G25" s="30">
        <v>1.6312500000000001</v>
      </c>
      <c r="H25" s="30">
        <v>1.3200000000000001</v>
      </c>
      <c r="I25" s="30">
        <v>0.31125000000000008</v>
      </c>
      <c r="J25" s="30">
        <v>9.0309566790115507</v>
      </c>
      <c r="K25" s="30">
        <v>7.3587022749019955</v>
      </c>
      <c r="L25" s="30">
        <v>3</v>
      </c>
      <c r="M25" s="30">
        <v>0.063749999999999987</v>
      </c>
      <c r="N25" s="30">
        <v>3.1427394175212213</v>
      </c>
      <c r="O25" s="30">
        <v>0.71100000000000008</v>
      </c>
      <c r="P25" s="30">
        <v>0.35850000000000004</v>
      </c>
      <c r="Q25" s="30">
        <v>0.60899999999999999</v>
      </c>
      <c r="R25" s="30">
        <v>51.611503725077839</v>
      </c>
      <c r="S25" s="30">
        <v>25.638966690618524</v>
      </c>
      <c r="T25" s="30">
        <v>48.388496274922161</v>
      </c>
      <c r="U25" s="30">
        <v>-1.6549413243011777</v>
      </c>
      <c r="V25" s="30">
        <v>-1.7645800173349371</v>
      </c>
      <c r="W25" s="30">
        <v>0.11752650423081668</v>
      </c>
      <c r="X25" s="30">
        <v>2.6666666666666665</v>
      </c>
      <c r="Y25" s="97">
        <v>2.1197500000000002</v>
      </c>
      <c r="Z25" s="30">
        <v>1.6649999999999998</v>
      </c>
      <c r="AA25" s="30">
        <v>0.45474999999999993</v>
      </c>
      <c r="AB25" s="30">
        <v>17.350345709865184</v>
      </c>
      <c r="AC25" s="30">
        <v>10.678875676907598</v>
      </c>
      <c r="AD25" s="30">
        <v>4</v>
      </c>
      <c r="AE25" s="30">
        <v>0.059749999999999991</v>
      </c>
      <c r="AF25" s="30">
        <v>4.1036508193901211</v>
      </c>
      <c r="AG25" s="30">
        <v>0.70050000000000001</v>
      </c>
      <c r="AH25" s="30">
        <v>0.48900000000000005</v>
      </c>
      <c r="AI25" s="30">
        <v>0.96450000000000014</v>
      </c>
      <c r="AJ25" s="30">
        <v>43.677546540922343</v>
      </c>
      <c r="AK25" s="30">
        <v>30.814973674514022</v>
      </c>
      <c r="AL25" s="30">
        <v>56.322453459077657</v>
      </c>
      <c r="AM25" s="30">
        <v>-1.7599902294831331</v>
      </c>
      <c r="AN25" s="30">
        <v>-1.7278018923013057</v>
      </c>
      <c r="AO25" s="30">
        <v>0.14773651427346676</v>
      </c>
      <c r="AP25" s="30">
        <v>1.75</v>
      </c>
      <c r="AQ25" s="30">
        <v>1.8057500000000002</v>
      </c>
      <c r="AR25" s="30">
        <v>1.3650000000000002</v>
      </c>
      <c r="AS25" s="30">
        <v>0.57574999999999998</v>
      </c>
      <c r="AT25" s="30">
        <v>9.0733466001497369</v>
      </c>
      <c r="AU25" s="30">
        <v>6.6651459018755821</v>
      </c>
      <c r="AV25" s="30">
        <v>5</v>
      </c>
      <c r="AW25" s="30">
        <v>0.030250000000000006</v>
      </c>
      <c r="AX25" s="30">
        <v>5.215684557941346</v>
      </c>
      <c r="AY25" s="30">
        <v>0.57000000000000006</v>
      </c>
      <c r="AZ25" s="30">
        <v>0.57300000000000006</v>
      </c>
      <c r="BA25" s="30">
        <v>0.63900000000000001</v>
      </c>
      <c r="BB25" s="30">
        <v>45.369173209339614</v>
      </c>
      <c r="BC25" s="30">
        <v>44.571922784036346</v>
      </c>
      <c r="BD25" s="30">
        <v>54.630826790660386</v>
      </c>
      <c r="BE25" s="30">
        <v>-1.6796063025285015</v>
      </c>
      <c r="BF25" s="30">
        <v>-1.7217815629484075</v>
      </c>
      <c r="BG25" s="30">
        <v>0.11005808333238494</v>
      </c>
      <c r="BH25" s="30">
        <v>0.75</v>
      </c>
      <c r="BI25" s="30">
        <v>2.7672500000000002</v>
      </c>
      <c r="BJ25" s="30">
        <v>1.6728750000000001</v>
      </c>
      <c r="BK25" s="30">
        <v>1.0943750000000001</v>
      </c>
      <c r="BL25" s="30">
        <v>16.917730943344552</v>
      </c>
      <c r="BM25" s="30">
        <v>10.334539991984204</v>
      </c>
      <c r="BN25" s="30">
        <v>6</v>
      </c>
      <c r="BO25" s="30">
        <v>0.037000000000000005</v>
      </c>
      <c r="BP25" s="30">
        <v>6.0574962764358116</v>
      </c>
      <c r="BQ25" s="30">
        <v>0.47550000000000003</v>
      </c>
      <c r="BR25" s="30">
        <v>0.42337500000000006</v>
      </c>
      <c r="BS25" s="30">
        <v>1.1973750000000001</v>
      </c>
      <c r="BT25" s="30">
        <v>27.828343313231557</v>
      </c>
      <c r="BU25" s="30">
        <v>24.608873655068983</v>
      </c>
      <c r="BV25" s="30">
        <v>72.171656686768429</v>
      </c>
      <c r="BW25" s="30">
        <v>-1.7139639243336247</v>
      </c>
      <c r="BX25" s="30">
        <v>-1.5691389948413375</v>
      </c>
      <c r="BY25" s="30">
        <v>0.29257477776158769</v>
      </c>
      <c r="BZ25" s="30">
        <v>3.25</v>
      </c>
    </row>
    <row r="26" s="162" customFormat="1">
      <c r="A26" s="52" t="s">
        <v>138</v>
      </c>
      <c r="B26" s="52">
        <v>2</v>
      </c>
      <c r="C26" s="166">
        <v>7.0300000000000002</v>
      </c>
      <c r="D26" s="165">
        <v>0.97521381510581784</v>
      </c>
      <c r="E26" s="49">
        <v>-1.397476882096697</v>
      </c>
      <c r="F26" s="49">
        <v>0.55793571519186358</v>
      </c>
      <c r="G26" s="30">
        <v>1.8975000000000002</v>
      </c>
      <c r="H26" s="30">
        <v>1.5285</v>
      </c>
      <c r="I26" s="30">
        <v>0.36899999999999999</v>
      </c>
      <c r="J26" s="30">
        <v>8.3871557646879573</v>
      </c>
      <c r="K26" s="30">
        <v>6.1921340173356167</v>
      </c>
      <c r="L26" s="30">
        <v>3</v>
      </c>
      <c r="M26" s="30">
        <v>0.024</v>
      </c>
      <c r="N26" s="30">
        <v>3.0626424823306961</v>
      </c>
      <c r="O26" s="30">
        <v>1.0065</v>
      </c>
      <c r="P26" s="30">
        <v>0.60300000000000009</v>
      </c>
      <c r="Q26" s="30">
        <v>0.52200000000000002</v>
      </c>
      <c r="R26" s="30">
        <v>62.933375828158226</v>
      </c>
      <c r="S26" s="30">
        <v>30.493060139401251</v>
      </c>
      <c r="T26" s="30">
        <v>37.066624171841767</v>
      </c>
      <c r="U26" s="30">
        <v>-1.6870747051060753</v>
      </c>
      <c r="V26" s="30">
        <v>-1.8684846788508687</v>
      </c>
      <c r="W26" s="30">
        <v>0.053811801366031919</v>
      </c>
      <c r="X26" s="30">
        <v>1</v>
      </c>
      <c r="Y26" s="97">
        <v>2.5034999999999998</v>
      </c>
      <c r="Z26" s="30">
        <v>1.9920000000000002</v>
      </c>
      <c r="AA26" s="30">
        <v>0.51150000000000007</v>
      </c>
      <c r="AB26" s="30">
        <v>17.04852215517738</v>
      </c>
      <c r="AC26" s="30">
        <v>8.5593925501525447</v>
      </c>
      <c r="AD26" s="30">
        <v>4</v>
      </c>
      <c r="AE26" s="30">
        <v>0.059999999999999998</v>
      </c>
      <c r="AF26" s="30">
        <v>4.0863017545015001</v>
      </c>
      <c r="AG26" s="30">
        <v>0.96450000000000014</v>
      </c>
      <c r="AH26" s="30">
        <v>0.83699999999999997</v>
      </c>
      <c r="AI26" s="30">
        <v>1.0275000000000001</v>
      </c>
      <c r="AJ26" s="30">
        <v>48.242921853365033</v>
      </c>
      <c r="AK26" s="30">
        <v>41.8795969840411</v>
      </c>
      <c r="AL26" s="30">
        <v>51.757078146634981</v>
      </c>
      <c r="AM26" s="30">
        <v>-1.6722759597728039</v>
      </c>
      <c r="AN26" s="30">
        <v>-1.8467166701343978</v>
      </c>
      <c r="AO26" s="30">
        <v>0.13346936675310084</v>
      </c>
      <c r="AP26" s="30">
        <v>2.25</v>
      </c>
      <c r="AQ26" s="30">
        <v>2.7492500000000004</v>
      </c>
      <c r="AR26" s="30">
        <v>2.1284999999999998</v>
      </c>
      <c r="AS26" s="30">
        <v>0.62075000000000002</v>
      </c>
      <c r="AT26" s="30">
        <v>8.8123260249556772</v>
      </c>
      <c r="AU26" s="30">
        <v>5.2232825745449194</v>
      </c>
      <c r="AV26" s="30">
        <v>5</v>
      </c>
      <c r="AW26" s="30">
        <v>0.060250000000000005</v>
      </c>
      <c r="AX26" s="30">
        <v>5.1290047077172201</v>
      </c>
      <c r="AY26" s="30">
        <v>1.2749999999999999</v>
      </c>
      <c r="AZ26" s="30">
        <v>1.0425</v>
      </c>
      <c r="BA26" s="30">
        <v>0.85350000000000015</v>
      </c>
      <c r="BB26" s="30">
        <v>55.969415311990687</v>
      </c>
      <c r="BC26" s="30">
        <v>43.210941582509996</v>
      </c>
      <c r="BD26" s="30">
        <v>44.030584688009313</v>
      </c>
      <c r="BE26" s="30">
        <v>-1.7263931718132035</v>
      </c>
      <c r="BF26" s="30">
        <v>-1.960149547540653</v>
      </c>
      <c r="BG26" s="30">
        <v>0.14363380769214848</v>
      </c>
      <c r="BH26" s="30">
        <v>1.75</v>
      </c>
      <c r="BI26" s="30">
        <v>5.120750000000001</v>
      </c>
      <c r="BJ26" s="30">
        <v>3.3510000000000004</v>
      </c>
      <c r="BK26" s="30">
        <v>1.7697500000000002</v>
      </c>
      <c r="BL26" s="30">
        <v>17.341832843009851</v>
      </c>
      <c r="BM26" s="30">
        <v>5.7041511925332582</v>
      </c>
      <c r="BN26" s="30">
        <v>6</v>
      </c>
      <c r="BO26" s="30">
        <v>0.064750000000000002</v>
      </c>
      <c r="BP26" s="30">
        <v>6.0369141672377618</v>
      </c>
      <c r="BQ26" s="30">
        <v>0.89400000000000013</v>
      </c>
      <c r="BR26" s="30">
        <v>0.66150000000000009</v>
      </c>
      <c r="BS26" s="30">
        <v>2.4570000000000003</v>
      </c>
      <c r="BT26" s="30">
        <v>28.10872261019464</v>
      </c>
      <c r="BU26" s="30">
        <v>19.741689338322637</v>
      </c>
      <c r="BV26" s="30">
        <v>71.891277389805367</v>
      </c>
      <c r="BW26" s="30">
        <v>-1.7986253152182869</v>
      </c>
      <c r="BX26" s="30">
        <v>-1.893213598031356</v>
      </c>
      <c r="BY26" s="30">
        <v>0.22169985172891177</v>
      </c>
      <c r="BZ26" s="30">
        <v>6.5</v>
      </c>
    </row>
    <row r="27" s="162" customFormat="1">
      <c r="A27" s="52" t="s">
        <v>138</v>
      </c>
      <c r="B27" s="52">
        <v>1</v>
      </c>
      <c r="C27" s="166">
        <v>7.0300000000000002</v>
      </c>
      <c r="D27" s="165">
        <v>0.0627006005562811</v>
      </c>
      <c r="E27" s="49">
        <v>0.89846413438894868</v>
      </c>
      <c r="F27" s="49">
        <v>0.11306988949509511</v>
      </c>
      <c r="G27" s="30">
        <v>1.1240000000000001</v>
      </c>
      <c r="H27" s="30">
        <v>0.80099999999999993</v>
      </c>
      <c r="I27" s="30">
        <v>0.32300000000000001</v>
      </c>
      <c r="J27" s="30">
        <v>8.873362568727881</v>
      </c>
      <c r="K27" s="30">
        <v>11.134772236465691</v>
      </c>
      <c r="L27" s="30">
        <v>3</v>
      </c>
      <c r="M27" s="30">
        <v>0.053500000000000006</v>
      </c>
      <c r="N27" s="30">
        <v>3.1418267787563319</v>
      </c>
      <c r="O27" s="30">
        <v>0.32400000000000001</v>
      </c>
      <c r="P27" s="30">
        <v>0.1875</v>
      </c>
      <c r="Q27" s="30">
        <v>0.47700000000000004</v>
      </c>
      <c r="R27" s="30">
        <v>40.312355943451252</v>
      </c>
      <c r="S27" s="30">
        <v>23.192229959584111</v>
      </c>
      <c r="T27" s="30">
        <v>59.687644056548741</v>
      </c>
      <c r="U27" s="30">
        <v>-1.5077532939668035</v>
      </c>
      <c r="V27" s="30">
        <v>-1.5194282149759069</v>
      </c>
      <c r="W27" s="30">
        <v>0.097532506086794951</v>
      </c>
      <c r="X27" s="30">
        <v>0.75</v>
      </c>
      <c r="Y27" s="97">
        <v>1.2112500000000002</v>
      </c>
      <c r="Z27" s="30">
        <v>0.94350000000000001</v>
      </c>
      <c r="AA27" s="30">
        <v>0.26775000000000004</v>
      </c>
      <c r="AB27" s="30">
        <v>17.302595002179835</v>
      </c>
      <c r="AC27" s="30">
        <v>18.725959239086915</v>
      </c>
      <c r="AD27" s="30">
        <v>4</v>
      </c>
      <c r="AE27" s="30">
        <v>0.032250000000000001</v>
      </c>
      <c r="AF27" s="30">
        <v>4.1086268527802954</v>
      </c>
      <c r="AG27" s="30">
        <v>0.36299999999999999</v>
      </c>
      <c r="AH27" s="30">
        <v>0.126</v>
      </c>
      <c r="AI27" s="30">
        <v>0.58050000000000002</v>
      </c>
      <c r="AJ27" s="30">
        <v>38.983938144000689</v>
      </c>
      <c r="AK27" s="30">
        <v>13.377257532479721</v>
      </c>
      <c r="AL27" s="30">
        <v>61.016061855999325</v>
      </c>
      <c r="AM27" s="30">
        <v>-1.4917809443035479</v>
      </c>
      <c r="AN27" s="30">
        <v>-1.5586446902832529</v>
      </c>
      <c r="AO27" s="30">
        <v>0.11615451585164246</v>
      </c>
      <c r="AP27" s="30">
        <v>0.75</v>
      </c>
      <c r="AQ27" s="30">
        <v>1.0170000000000001</v>
      </c>
      <c r="AR27" s="30">
        <v>0.83400000000000007</v>
      </c>
      <c r="AS27" s="30">
        <v>0.20700000000000002</v>
      </c>
      <c r="AT27" s="30">
        <v>8.7689064742425558</v>
      </c>
      <c r="AU27" s="30">
        <v>10.542378775850024</v>
      </c>
      <c r="AV27" s="30">
        <v>5</v>
      </c>
      <c r="AW27" s="30">
        <v>0.049500000000000002</v>
      </c>
      <c r="AX27" s="30">
        <v>5.1350922749376577</v>
      </c>
      <c r="AY27" s="30">
        <v>0.26550000000000001</v>
      </c>
      <c r="AZ27" s="30">
        <v>0.13500000000000001</v>
      </c>
      <c r="BA27" s="30">
        <v>0.54400000000000004</v>
      </c>
      <c r="BB27" s="30">
        <v>32.656575031411492</v>
      </c>
      <c r="BC27" s="30">
        <v>16.28399452723604</v>
      </c>
      <c r="BD27" s="30">
        <v>67.343424968588508</v>
      </c>
      <c r="BE27" s="30">
        <v>-1.5706953057455757</v>
      </c>
      <c r="BF27" s="30">
        <v>-1.4694635424027758</v>
      </c>
      <c r="BG27" s="30">
        <v>0.14827719788265722</v>
      </c>
      <c r="BH27" s="30">
        <v>1</v>
      </c>
      <c r="BI27" s="30">
        <v>1.3985000000000001</v>
      </c>
      <c r="BJ27" s="30">
        <v>1.173</v>
      </c>
      <c r="BK27" s="30">
        <v>0.22550000000000003</v>
      </c>
      <c r="BL27" s="30">
        <v>16.787159797228508</v>
      </c>
      <c r="BM27" s="30">
        <v>15.070427384763638</v>
      </c>
      <c r="BN27" s="30">
        <v>6</v>
      </c>
      <c r="BO27" s="30">
        <v>0.057999999999999996</v>
      </c>
      <c r="BP27" s="30">
        <v>6.0655287591624401</v>
      </c>
      <c r="BQ27" s="30">
        <v>0.44699999999999995</v>
      </c>
      <c r="BR27" s="30">
        <v>0.23099999999999996</v>
      </c>
      <c r="BS27" s="30">
        <v>0.72600000000000009</v>
      </c>
      <c r="BT27" s="30">
        <v>37.807654745956</v>
      </c>
      <c r="BU27" s="30">
        <v>18.386786813466244</v>
      </c>
      <c r="BV27" s="30">
        <v>62.192345254043992</v>
      </c>
      <c r="BW27" s="30">
        <v>-1.474055251832449</v>
      </c>
      <c r="BX27" s="30">
        <v>-1.5950193042287228</v>
      </c>
      <c r="BY27" s="30">
        <v>0.098933919888381294</v>
      </c>
      <c r="BZ27" s="30">
        <v>1</v>
      </c>
    </row>
    <row r="28" s="162" customFormat="1">
      <c r="A28" s="52" t="s">
        <v>138</v>
      </c>
      <c r="B28" s="51">
        <v>2</v>
      </c>
      <c r="C28" s="164">
        <v>7.0300000000000002</v>
      </c>
      <c r="D28" s="165">
        <v>0.14405873685580461</v>
      </c>
      <c r="E28" s="49">
        <v>0.66173415599553143</v>
      </c>
      <c r="F28" s="49">
        <v>0.21909073021415548</v>
      </c>
      <c r="G28" s="30">
        <v>1.0190000000000001</v>
      </c>
      <c r="H28" s="30">
        <v>0.65400000000000003</v>
      </c>
      <c r="I28" s="30">
        <v>0.36500000000000005</v>
      </c>
      <c r="J28" s="30">
        <v>9.4804069680148118</v>
      </c>
      <c r="K28" s="30">
        <v>15.547199481535454</v>
      </c>
      <c r="L28" s="30">
        <v>3</v>
      </c>
      <c r="M28" s="30">
        <v>0.059499999999999997</v>
      </c>
      <c r="N28" s="30">
        <v>3.2011970068176736</v>
      </c>
      <c r="O28" s="30">
        <v>0.29550000000000004</v>
      </c>
      <c r="P28" s="30">
        <v>0.156</v>
      </c>
      <c r="Q28" s="30">
        <v>0.35850000000000004</v>
      </c>
      <c r="R28" s="30">
        <v>44.461130195151398</v>
      </c>
      <c r="S28" s="30">
        <v>21.796043290586347</v>
      </c>
      <c r="T28" s="30">
        <v>55.538869804848602</v>
      </c>
      <c r="U28" s="30">
        <v>-1.4322209484419766</v>
      </c>
      <c r="V28" s="30">
        <v>-1.4642903758889454</v>
      </c>
      <c r="W28" s="30">
        <v>0.11019437707714774</v>
      </c>
      <c r="X28" s="30">
        <v>1</v>
      </c>
      <c r="Y28" s="97">
        <v>1.5105</v>
      </c>
      <c r="Z28" s="30">
        <v>0.85650000000000015</v>
      </c>
      <c r="AA28" s="30">
        <v>0.65400000000000003</v>
      </c>
      <c r="AB28" s="30">
        <v>18.162423449310122</v>
      </c>
      <c r="AC28" s="30">
        <v>21.537658965301411</v>
      </c>
      <c r="AD28" s="30">
        <v>4</v>
      </c>
      <c r="AE28" s="30">
        <v>0.029999999999999999</v>
      </c>
      <c r="AF28" s="30">
        <v>4.1342016108320969</v>
      </c>
      <c r="AG28" s="30">
        <v>0.38100000000000001</v>
      </c>
      <c r="AH28" s="30">
        <v>0.20100000000000001</v>
      </c>
      <c r="AI28" s="30">
        <v>0.47550000000000009</v>
      </c>
      <c r="AJ28" s="30">
        <v>44.090859714574272</v>
      </c>
      <c r="AK28" s="30">
        <v>23.163721071964446</v>
      </c>
      <c r="AL28" s="30">
        <v>55.909140285425721</v>
      </c>
      <c r="AM28" s="30">
        <v>-1.4500735444694723</v>
      </c>
      <c r="AN28" s="30">
        <v>-1.5424454884017784</v>
      </c>
      <c r="AO28" s="30">
        <v>0.20355884939559793</v>
      </c>
      <c r="AP28" s="30">
        <v>0.75</v>
      </c>
      <c r="AQ28" s="30">
        <v>1.20275</v>
      </c>
      <c r="AR28" s="30">
        <v>0.70200000000000007</v>
      </c>
      <c r="AS28" s="30">
        <v>0.50075000000000003</v>
      </c>
      <c r="AT28" s="30">
        <v>8.793564285001171</v>
      </c>
      <c r="AU28" s="30">
        <v>12.893070743505442</v>
      </c>
      <c r="AV28" s="30">
        <v>5</v>
      </c>
      <c r="AW28" s="30">
        <v>0.057250000000000002</v>
      </c>
      <c r="AX28" s="30">
        <v>5.1053074617116421</v>
      </c>
      <c r="AY28" s="30">
        <v>0.28500000000000003</v>
      </c>
      <c r="AZ28" s="30">
        <v>0.13350000000000001</v>
      </c>
      <c r="BA28" s="30">
        <v>0.41699999999999998</v>
      </c>
      <c r="BB28" s="30">
        <v>40.7174230545398</v>
      </c>
      <c r="BC28" s="30">
        <v>19.087420539366299</v>
      </c>
      <c r="BD28" s="30">
        <v>59.282576945460207</v>
      </c>
      <c r="BE28" s="30">
        <v>-1.4247873687178143</v>
      </c>
      <c r="BF28" s="30">
        <v>-1.4880423885470657</v>
      </c>
      <c r="BG28" s="30">
        <v>0.10300709627026508</v>
      </c>
      <c r="BH28" s="30">
        <v>0.5</v>
      </c>
      <c r="BI28" s="30">
        <v>1.5923333333333334</v>
      </c>
      <c r="BJ28" s="30">
        <v>0.92600000000000016</v>
      </c>
      <c r="BK28" s="30">
        <v>0.66633333333333333</v>
      </c>
      <c r="BL28" s="30">
        <v>17.187065840218523</v>
      </c>
      <c r="BM28" s="30">
        <v>19.016687119835996</v>
      </c>
      <c r="BN28" s="30">
        <v>6</v>
      </c>
      <c r="BO28" s="30">
        <v>0.0385</v>
      </c>
      <c r="BP28" s="30">
        <v>6.0681365615168383</v>
      </c>
      <c r="BQ28" s="30">
        <v>0.34800000000000003</v>
      </c>
      <c r="BR28" s="30">
        <v>0.13400000000000001</v>
      </c>
      <c r="BS28" s="30">
        <v>0.57799999999999996</v>
      </c>
      <c r="BT28" s="30">
        <v>38.517244925287628</v>
      </c>
      <c r="BU28" s="30">
        <v>14.851074344738796</v>
      </c>
      <c r="BV28" s="30">
        <v>61.482755074712379</v>
      </c>
      <c r="BW28" s="30">
        <v>-1.4674373865172017</v>
      </c>
      <c r="BX28" s="30">
        <v>-1.5191924418838738</v>
      </c>
      <c r="BY28" s="30">
        <v>0.10977989461651516</v>
      </c>
      <c r="BZ28" s="30">
        <v>0.66666666666666663</v>
      </c>
    </row>
    <row r="29">
      <c r="A29" s="43" t="s">
        <v>139</v>
      </c>
      <c r="B29" s="43">
        <v>1</v>
      </c>
      <c r="C29" s="126">
        <v>7.04</v>
      </c>
      <c r="D29" s="120">
        <v>0.25365213718292551</v>
      </c>
      <c r="E29" s="30">
        <v>0.81854020145092232</v>
      </c>
      <c r="F29" s="30">
        <v>0.34388955280874622</v>
      </c>
      <c r="G29" s="30">
        <v>1.593</v>
      </c>
      <c r="H29" s="30">
        <v>1.2315</v>
      </c>
      <c r="I29" s="30">
        <v>0.36150000000000004</v>
      </c>
      <c r="J29" s="30">
        <v>9.2487147399333143</v>
      </c>
      <c r="K29" s="30">
        <v>7.5899618451617759</v>
      </c>
      <c r="L29" s="30">
        <v>3</v>
      </c>
      <c r="M29" s="30">
        <v>0.069000000000000006</v>
      </c>
      <c r="N29" s="30">
        <v>3.2015142806979697</v>
      </c>
      <c r="O29" s="30">
        <v>0.41100000000000003</v>
      </c>
      <c r="P29" s="30">
        <v>0.22949999999999998</v>
      </c>
      <c r="Q29" s="30">
        <v>0.82050000000000023</v>
      </c>
      <c r="R29" s="30">
        <v>33.223846089742466</v>
      </c>
      <c r="S29" s="30">
        <v>18.316104997129848</v>
      </c>
      <c r="T29" s="30">
        <v>66.776153910257534</v>
      </c>
      <c r="U29" s="30">
        <v>-1.6434453138802483</v>
      </c>
      <c r="V29" s="30">
        <v>-1.6264699244131802</v>
      </c>
      <c r="W29" s="30">
        <v>0.086099970460840336</v>
      </c>
      <c r="X29" s="30">
        <v>2</v>
      </c>
      <c r="Y29" s="97">
        <v>2.0579999999999998</v>
      </c>
      <c r="Z29" s="30">
        <v>1.6949999999999998</v>
      </c>
      <c r="AA29" s="30">
        <v>0.36300000000000004</v>
      </c>
      <c r="AB29" s="30">
        <v>17.724144311302314</v>
      </c>
      <c r="AC29" s="30">
        <v>10.851638449624524</v>
      </c>
      <c r="AD29" s="30">
        <v>4</v>
      </c>
      <c r="AE29" s="30">
        <v>0.051000000000000004</v>
      </c>
      <c r="AF29" s="30">
        <v>4.1347731743228211</v>
      </c>
      <c r="AG29" s="30">
        <v>0.64650000000000007</v>
      </c>
      <c r="AH29" s="30">
        <v>0.372</v>
      </c>
      <c r="AI29" s="30">
        <v>1.0485</v>
      </c>
      <c r="AJ29" s="30">
        <v>37.697663267835438</v>
      </c>
      <c r="AK29" s="30">
        <v>20.941195232993156</v>
      </c>
      <c r="AL29" s="30">
        <v>62.302336732164562</v>
      </c>
      <c r="AM29" s="30">
        <v>-1.6558620378399003</v>
      </c>
      <c r="AN29" s="30">
        <v>-1.7963446937106433</v>
      </c>
      <c r="AO29" s="30">
        <v>0.13341316518973345</v>
      </c>
      <c r="AP29" s="30">
        <v>3.25</v>
      </c>
      <c r="AQ29" s="30">
        <v>1.7593333333333334</v>
      </c>
      <c r="AR29" s="30">
        <v>1.4610000000000001</v>
      </c>
      <c r="AS29" s="30">
        <v>0.42933333333333334</v>
      </c>
      <c r="AT29" s="30">
        <v>9.3004265465768725</v>
      </c>
      <c r="AU29" s="30">
        <v>6.5194036788753422</v>
      </c>
      <c r="AV29" s="30">
        <v>5</v>
      </c>
      <c r="AW29" s="30">
        <v>0.03925</v>
      </c>
      <c r="AX29" s="30">
        <v>5.1794907334414155</v>
      </c>
      <c r="AY29" s="30">
        <v>0.45399999999999996</v>
      </c>
      <c r="AZ29" s="30">
        <v>0.19200000000000003</v>
      </c>
      <c r="BA29" s="30">
        <v>0.8580000000000001</v>
      </c>
      <c r="BB29" s="30">
        <v>31.400591135623838</v>
      </c>
      <c r="BC29" s="30">
        <v>15.031068955268184</v>
      </c>
      <c r="BD29" s="30">
        <v>68.599408864376159</v>
      </c>
      <c r="BE29" s="30">
        <v>-1.6941011470865421</v>
      </c>
      <c r="BF29" s="30">
        <v>-1.5857498368144005</v>
      </c>
      <c r="BG29" s="30">
        <v>0.20753797165531052</v>
      </c>
      <c r="BH29" s="30">
        <v>2.3333333333333335</v>
      </c>
      <c r="BI29" s="30">
        <v>2.4950000000000006</v>
      </c>
      <c r="BJ29" s="30">
        <v>2.1870000000000003</v>
      </c>
      <c r="BK29" s="30">
        <v>0.34550000000000003</v>
      </c>
      <c r="BL29" s="30">
        <v>17.743796295438607</v>
      </c>
      <c r="BM29" s="30">
        <v>8.8282118019169609</v>
      </c>
      <c r="BN29" s="30">
        <v>6</v>
      </c>
      <c r="BO29" s="30">
        <v>0.031</v>
      </c>
      <c r="BP29" s="30">
        <v>6.0362897429458879</v>
      </c>
      <c r="BQ29" s="30">
        <v>0.68400000000000005</v>
      </c>
      <c r="BR29" s="30">
        <v>0.24299999999999997</v>
      </c>
      <c r="BS29" s="30">
        <v>1.6890000000000001</v>
      </c>
      <c r="BT29" s="30">
        <v>30.961399829615772</v>
      </c>
      <c r="BU29" s="30">
        <v>11.530615266657701</v>
      </c>
      <c r="BV29" s="30">
        <v>69.038600170384228</v>
      </c>
      <c r="BW29" s="30">
        <v>-1.6792466112074922</v>
      </c>
      <c r="BX29" s="30">
        <v>-2.1553256902156033</v>
      </c>
      <c r="BY29" s="30">
        <v>0.3113071388542949</v>
      </c>
      <c r="BZ29" s="30">
        <v>5.333333333333333</v>
      </c>
    </row>
    <row r="30">
      <c r="A30" s="43" t="s">
        <v>139</v>
      </c>
      <c r="B30" s="43">
        <v>1</v>
      </c>
      <c r="C30" s="126">
        <v>7.0499999999999998</v>
      </c>
      <c r="D30" s="120">
        <v>0.13928977333689868</v>
      </c>
      <c r="E30" s="30">
        <v>1.0947332254990485</v>
      </c>
      <c r="F30" s="30">
        <v>0.063675543558702197</v>
      </c>
      <c r="G30" s="30">
        <v>1.0686666666666669</v>
      </c>
      <c r="H30" s="30">
        <v>0.9900000000000001</v>
      </c>
      <c r="I30" s="30">
        <v>0.078666666666666676</v>
      </c>
      <c r="J30" s="30">
        <v>8.279855607225441</v>
      </c>
      <c r="K30" s="30">
        <v>8.4855736243614928</v>
      </c>
      <c r="L30" s="30">
        <v>3</v>
      </c>
      <c r="M30" s="30">
        <v>0.054500000000000007</v>
      </c>
      <c r="N30" s="30">
        <v>3.0276209327275958</v>
      </c>
      <c r="O30" s="30">
        <v>0.65800000000000003</v>
      </c>
      <c r="P30" s="30">
        <v>0.60399999999999998</v>
      </c>
      <c r="Q30" s="30">
        <v>0.33200000000000002</v>
      </c>
      <c r="R30" s="30">
        <v>66.67320365256171</v>
      </c>
      <c r="S30" s="30">
        <v>61.141481962728875</v>
      </c>
      <c r="T30" s="30">
        <v>33.326796347438297</v>
      </c>
      <c r="U30" s="30">
        <v>-1.5394856450237862</v>
      </c>
      <c r="V30" s="30">
        <v>-1.6543788544686935</v>
      </c>
      <c r="W30" s="30">
        <v>0.1161254795637582</v>
      </c>
      <c r="X30" s="30">
        <v>0.33333333333333331</v>
      </c>
      <c r="Y30" s="97">
        <v>2.5636666666666668</v>
      </c>
      <c r="Z30" s="30">
        <v>2.4179999999999997</v>
      </c>
      <c r="AA30" s="30">
        <v>0.14566666666666667</v>
      </c>
      <c r="AB30" s="30">
        <v>16.823246514940283</v>
      </c>
      <c r="AC30" s="30">
        <v>7.5555956457258269</v>
      </c>
      <c r="AD30" s="30">
        <v>4</v>
      </c>
      <c r="AE30" s="30">
        <v>0.063</v>
      </c>
      <c r="AF30" s="30">
        <v>4.0580761801285146</v>
      </c>
      <c r="AG30" s="30">
        <v>0.82399999999999995</v>
      </c>
      <c r="AH30" s="30">
        <v>0.34600000000000003</v>
      </c>
      <c r="AI30" s="30">
        <v>1.5940000000000001</v>
      </c>
      <c r="AJ30" s="30">
        <v>34.994305915252674</v>
      </c>
      <c r="AK30" s="30">
        <v>17.858990798449863</v>
      </c>
      <c r="AL30" s="30">
        <v>65.005694084747333</v>
      </c>
      <c r="AM30" s="30">
        <v>-1.7228361838950204</v>
      </c>
      <c r="AN30" s="30">
        <v>-1.7499745431508147</v>
      </c>
      <c r="AO30" s="30">
        <v>0.13575223487083335</v>
      </c>
      <c r="AP30" s="30">
        <v>3.5</v>
      </c>
      <c r="AQ30" s="30">
        <v>1.3400000000000001</v>
      </c>
      <c r="AR30" s="30">
        <v>1.2540000000000002</v>
      </c>
      <c r="AS30" s="30">
        <v>0.086000000000000007</v>
      </c>
      <c r="AT30" s="30">
        <v>8.9168522796525949</v>
      </c>
      <c r="AU30" s="30">
        <v>7.1246901584227382</v>
      </c>
      <c r="AV30" s="30">
        <v>5</v>
      </c>
      <c r="AW30" s="30">
        <v>0.048750000000000002</v>
      </c>
      <c r="AX30" s="30">
        <v>5.0978483828349246</v>
      </c>
      <c r="AY30" s="30">
        <v>0.628</v>
      </c>
      <c r="AZ30" s="30">
        <v>0.28200000000000003</v>
      </c>
      <c r="BA30" s="30">
        <v>0.626</v>
      </c>
      <c r="BB30" s="30">
        <v>50.439753195964379</v>
      </c>
      <c r="BC30" s="30">
        <v>22.27706299911269</v>
      </c>
      <c r="BD30" s="30">
        <v>49.560246804035614</v>
      </c>
      <c r="BE30" s="30">
        <v>-1.5717281293435128</v>
      </c>
      <c r="BF30" s="30">
        <v>-1.8914430368292614</v>
      </c>
      <c r="BG30" s="30">
        <v>0.10362492621959357</v>
      </c>
      <c r="BH30" s="30">
        <v>3</v>
      </c>
      <c r="BI30" s="30">
        <v>1.9480000000000004</v>
      </c>
      <c r="BJ30" s="30">
        <v>1.7560000000000002</v>
      </c>
      <c r="BK30" s="30">
        <v>0.26350000000000001</v>
      </c>
      <c r="BL30" s="30">
        <v>17.462159392310877</v>
      </c>
      <c r="BM30" s="30">
        <v>10.676643010283167</v>
      </c>
      <c r="BN30" s="30">
        <v>6</v>
      </c>
      <c r="BO30" s="30">
        <v>0.057500000000000009</v>
      </c>
      <c r="BP30" s="30">
        <v>6.0746675600919824</v>
      </c>
      <c r="BQ30" s="30">
        <v>0.65100000000000002</v>
      </c>
      <c r="BR30" s="30">
        <v>0.41699999999999998</v>
      </c>
      <c r="BS30" s="30">
        <v>1.1180000000000001</v>
      </c>
      <c r="BT30" s="30">
        <v>38.006931651555576</v>
      </c>
      <c r="BU30" s="30">
        <v>22.938434609307908</v>
      </c>
      <c r="BV30" s="30">
        <v>61.993068348444424</v>
      </c>
      <c r="BW30" s="30">
        <v>-1.5422423293305554</v>
      </c>
      <c r="BX30" s="30">
        <v>-1.6456831454827927</v>
      </c>
      <c r="BY30" s="30">
        <v>0.18230435006684786</v>
      </c>
      <c r="BZ30" s="30">
        <v>2.25</v>
      </c>
    </row>
    <row r="31" s="162" customFormat="1">
      <c r="A31" s="52" t="s">
        <v>138</v>
      </c>
      <c r="B31" s="52">
        <v>1</v>
      </c>
      <c r="C31" s="166">
        <v>7.0499999999999998</v>
      </c>
      <c r="D31" s="165">
        <v>-0.0088065808939885928</v>
      </c>
      <c r="E31" s="49">
        <v>1.3986145597246165</v>
      </c>
      <c r="F31" s="49">
        <v>0.00069724590065112224</v>
      </c>
      <c r="G31" s="30">
        <v>1.3070000000000002</v>
      </c>
      <c r="H31" s="30">
        <v>0.51200000000000001</v>
      </c>
      <c r="I31" s="30">
        <v>0.80600000000000005</v>
      </c>
      <c r="J31" s="30">
        <v>9.7365556871941195</v>
      </c>
      <c r="K31" s="30">
        <v>19.165193845522918</v>
      </c>
      <c r="L31" s="30">
        <v>3</v>
      </c>
      <c r="M31" s="30">
        <v>0.035499999999999997</v>
      </c>
      <c r="N31" s="30">
        <v>3.1927155453394791</v>
      </c>
      <c r="O31" s="30">
        <v>0.19950000000000001</v>
      </c>
      <c r="P31" s="30">
        <v>0.090000000000000024</v>
      </c>
      <c r="Q31" s="30">
        <v>0.30800000000000005</v>
      </c>
      <c r="R31" s="30">
        <v>39.720955620078428</v>
      </c>
      <c r="S31" s="30">
        <v>18.134107607791819</v>
      </c>
      <c r="T31" s="30">
        <v>60.279044379921586</v>
      </c>
      <c r="U31" s="30">
        <v>-1.4422972957008582</v>
      </c>
      <c r="V31" s="30">
        <v>-1.3972481792817462</v>
      </c>
      <c r="W31" s="30">
        <v>0.088118928212867681</v>
      </c>
      <c r="X31" s="30">
        <v>2</v>
      </c>
      <c r="Y31" s="97">
        <v>1.3707500000000001</v>
      </c>
      <c r="Z31" s="30">
        <v>0.70350000000000001</v>
      </c>
      <c r="AA31" s="30">
        <v>0.66725000000000012</v>
      </c>
      <c r="AB31" s="30">
        <v>17.27553465869563</v>
      </c>
      <c r="AC31" s="30">
        <v>26.447417739987106</v>
      </c>
      <c r="AD31" s="30">
        <v>4</v>
      </c>
      <c r="AE31" s="30">
        <v>0.069250000000000006</v>
      </c>
      <c r="AF31" s="30">
        <v>4.0923651781708186</v>
      </c>
      <c r="AG31" s="30">
        <v>0.37350000000000005</v>
      </c>
      <c r="AH31" s="30">
        <v>0.21600000000000003</v>
      </c>
      <c r="AI31" s="30">
        <v>0.33000000000000002</v>
      </c>
      <c r="AJ31" s="30">
        <v>53.314278263478556</v>
      </c>
      <c r="AK31" s="30">
        <v>32.178987859339877</v>
      </c>
      <c r="AL31" s="30">
        <v>46.685721736521444</v>
      </c>
      <c r="AM31" s="30">
        <v>-1.4744082625514647</v>
      </c>
      <c r="AN31" s="30">
        <v>-1.5510649718390253</v>
      </c>
      <c r="AO31" s="30">
        <v>0.17907543586086497</v>
      </c>
      <c r="AP31" s="30">
        <v>0.5</v>
      </c>
      <c r="AQ31" s="30">
        <v>1.5335000000000001</v>
      </c>
      <c r="AR31" s="30">
        <v>1.006</v>
      </c>
      <c r="AS31" s="30">
        <v>0.61850000000000005</v>
      </c>
      <c r="AT31" s="30">
        <v>9.6311503846988042</v>
      </c>
      <c r="AU31" s="30">
        <v>10.356814986446867</v>
      </c>
      <c r="AV31" s="30">
        <v>5</v>
      </c>
      <c r="AW31" s="30">
        <v>0.0625</v>
      </c>
      <c r="AX31" s="30">
        <v>5.088939609270593</v>
      </c>
      <c r="AY31" s="30">
        <v>0.23250000000000001</v>
      </c>
      <c r="AZ31" s="30">
        <v>0.094500000000000001</v>
      </c>
      <c r="BA31" s="30">
        <v>0.77600000000000013</v>
      </c>
      <c r="BB31" s="30">
        <v>27.903960271167968</v>
      </c>
      <c r="BC31" s="30">
        <v>11.651342353240096</v>
      </c>
      <c r="BD31" s="30">
        <v>72.096039728832039</v>
      </c>
      <c r="BE31" s="30">
        <v>-1.4884604331931381</v>
      </c>
      <c r="BF31" s="30">
        <v>-1.4427543608317566</v>
      </c>
      <c r="BG31" s="30">
        <v>0.28429911934224522</v>
      </c>
      <c r="BH31" s="30">
        <v>1.75</v>
      </c>
      <c r="BI31" s="30">
        <v>1.2210000000000001</v>
      </c>
      <c r="BJ31" s="30">
        <v>0.58000000000000007</v>
      </c>
      <c r="BK31" s="30">
        <v>0.59999999999999998</v>
      </c>
      <c r="BL31" s="30">
        <v>16.769678216931869</v>
      </c>
      <c r="BM31" s="30">
        <v>29.283610835561589</v>
      </c>
      <c r="BN31" s="30">
        <v>6</v>
      </c>
      <c r="BO31" s="30">
        <v>0.072000000000000008</v>
      </c>
      <c r="BP31" s="30">
        <v>6.0449598425094235</v>
      </c>
      <c r="BQ31" s="30">
        <v>0.26100000000000001</v>
      </c>
      <c r="BR31" s="30">
        <v>0.10950000000000001</v>
      </c>
      <c r="BS31" s="30">
        <v>0.31000000000000005</v>
      </c>
      <c r="BT31" s="30">
        <v>42.845062214062999</v>
      </c>
      <c r="BU31" s="30">
        <v>17.824664160620102</v>
      </c>
      <c r="BV31" s="30">
        <v>57.154937785937001</v>
      </c>
      <c r="BW31" s="30">
        <v>-1.4298199492369168</v>
      </c>
      <c r="BX31" s="30">
        <v>-1.4747342667977774</v>
      </c>
      <c r="BY31" s="30">
        <v>0.24116259653113201</v>
      </c>
      <c r="BZ31" s="30">
        <v>0.5</v>
      </c>
    </row>
    <row r="32">
      <c r="A32" s="42" t="s">
        <v>139</v>
      </c>
      <c r="B32" s="43">
        <v>1</v>
      </c>
      <c r="C32" s="119">
        <v>7.0700000000000003</v>
      </c>
      <c r="D32" s="120">
        <v>0.11854623630244972</v>
      </c>
      <c r="E32" s="30">
        <v>0.36983479273324776</v>
      </c>
      <c r="F32" s="30">
        <v>0.36887251522531483</v>
      </c>
      <c r="G32" s="30">
        <v>0.75800000000000001</v>
      </c>
      <c r="H32" s="30">
        <v>0.41100000000000003</v>
      </c>
      <c r="I32" s="30">
        <v>0.34699999999999998</v>
      </c>
      <c r="J32" s="30">
        <v>8.7717125133466816</v>
      </c>
      <c r="K32" s="30">
        <v>22.37064604737423</v>
      </c>
      <c r="L32" s="30">
        <v>3</v>
      </c>
      <c r="M32" s="30">
        <v>0.053500000000000006</v>
      </c>
      <c r="N32" s="30">
        <v>3.1244529259616658</v>
      </c>
      <c r="O32" s="30">
        <v>0.186</v>
      </c>
      <c r="P32" s="30">
        <v>0.082500000000000004</v>
      </c>
      <c r="Q32" s="30">
        <v>0.22500000000000003</v>
      </c>
      <c r="R32" s="30">
        <v>47.874116117344556</v>
      </c>
      <c r="S32" s="30">
        <v>22.445688697989713</v>
      </c>
      <c r="T32" s="30">
        <v>52.125883882655444</v>
      </c>
      <c r="U32" s="30">
        <v>-1.4382970772186223</v>
      </c>
      <c r="V32" s="30">
        <v>-1.4029568872421652</v>
      </c>
      <c r="W32" s="30">
        <v>0.11674681390734203</v>
      </c>
      <c r="X32" s="30">
        <v>0</v>
      </c>
      <c r="Y32" s="97">
        <v>0.91149999999999998</v>
      </c>
      <c r="Z32" s="30">
        <v>0.58200000000000007</v>
      </c>
      <c r="AA32" s="30">
        <v>0.32950000000000002</v>
      </c>
      <c r="AB32" s="30">
        <v>17.621461086542389</v>
      </c>
      <c r="AC32" s="30">
        <v>31.017130204329852</v>
      </c>
      <c r="AD32" s="30">
        <v>4</v>
      </c>
      <c r="AE32" s="30">
        <v>0.043999999999999997</v>
      </c>
      <c r="AF32" s="30">
        <v>4.1338665808492578</v>
      </c>
      <c r="AG32" s="30">
        <v>0.27750000000000002</v>
      </c>
      <c r="AH32" s="30">
        <v>0.064500000000000002</v>
      </c>
      <c r="AI32" s="30">
        <v>0.30449999999999999</v>
      </c>
      <c r="AJ32" s="30">
        <v>47.576696402353996</v>
      </c>
      <c r="AK32" s="30">
        <v>11.412206536153017</v>
      </c>
      <c r="AL32" s="30">
        <v>52.423303597646012</v>
      </c>
      <c r="AM32" s="30">
        <v>-1.5721210963568324</v>
      </c>
      <c r="AN32" s="30">
        <v>-1.5473822807779256</v>
      </c>
      <c r="AO32" s="30">
        <v>0.18174108510341913</v>
      </c>
      <c r="AP32" s="30">
        <v>0</v>
      </c>
      <c r="AQ32" s="30">
        <v>0.81399999999999983</v>
      </c>
      <c r="AR32" s="30">
        <v>0.48600000000000004</v>
      </c>
      <c r="AS32" s="30">
        <v>0.36100000000000004</v>
      </c>
      <c r="AT32" s="30">
        <v>9.0793550739771902</v>
      </c>
      <c r="AU32" s="30">
        <v>18.686025697504441</v>
      </c>
      <c r="AV32" s="30">
        <v>5</v>
      </c>
      <c r="AW32" s="30">
        <v>0.054500000000000007</v>
      </c>
      <c r="AX32" s="30">
        <v>5.2088065852216072</v>
      </c>
      <c r="AY32" s="30">
        <v>0.16200000000000003</v>
      </c>
      <c r="AZ32" s="30">
        <v>0.066000000000000003</v>
      </c>
      <c r="BA32" s="30">
        <v>0.33000000000000007</v>
      </c>
      <c r="BB32" s="30">
        <v>36.043121356274796</v>
      </c>
      <c r="BC32" s="30">
        <v>14.639699055058525</v>
      </c>
      <c r="BD32" s="30">
        <v>63.95687864372519</v>
      </c>
      <c r="BE32" s="30">
        <v>-1.4512071416613566</v>
      </c>
      <c r="BF32" s="30">
        <v>-1.3656823247783871</v>
      </c>
      <c r="BG32" s="30">
        <v>0.12763559883391196</v>
      </c>
      <c r="BH32" s="30">
        <v>0</v>
      </c>
      <c r="BI32" s="30">
        <v>1.20225</v>
      </c>
      <c r="BJ32" s="30">
        <v>0.80100000000000005</v>
      </c>
      <c r="BK32" s="30">
        <v>0.56025000000000003</v>
      </c>
      <c r="BL32" s="30">
        <v>17.460723148297607</v>
      </c>
      <c r="BM32" s="30">
        <v>22.246511715492876</v>
      </c>
      <c r="BN32" s="30">
        <v>6</v>
      </c>
      <c r="BO32" s="30">
        <v>0.059250000000000004</v>
      </c>
      <c r="BP32" s="30">
        <v>6.1451124562900263</v>
      </c>
      <c r="BQ32" s="30">
        <v>0.24299999999999997</v>
      </c>
      <c r="BR32" s="30">
        <v>0.090000000000000011</v>
      </c>
      <c r="BS32" s="30">
        <v>0.55800000000000005</v>
      </c>
      <c r="BT32" s="30">
        <v>40.774384714013195</v>
      </c>
      <c r="BU32" s="30">
        <v>15.46955624355005</v>
      </c>
      <c r="BV32" s="30">
        <v>59.225615285986791</v>
      </c>
      <c r="BW32" s="30">
        <v>-1.4557981201120525</v>
      </c>
      <c r="BX32" s="30">
        <v>-1.4906594789553729</v>
      </c>
      <c r="BY32" s="30">
        <v>0.11664371916948243</v>
      </c>
      <c r="BZ32" s="30">
        <v>0</v>
      </c>
    </row>
    <row r="33" s="162" customFormat="1">
      <c r="A33" s="52" t="s">
        <v>138</v>
      </c>
      <c r="B33" s="52">
        <v>1</v>
      </c>
      <c r="C33" s="166">
        <v>7.0700000000000003</v>
      </c>
      <c r="D33" s="165">
        <v>0.16550272600819896</v>
      </c>
      <c r="E33" s="49">
        <v>0.46653105814543078</v>
      </c>
      <c r="F33" s="49">
        <v>0.56128295923347393</v>
      </c>
      <c r="G33" s="30">
        <v>0.99650000000000016</v>
      </c>
      <c r="H33" s="30">
        <v>0.57000000000000006</v>
      </c>
      <c r="I33" s="30">
        <v>0.42649999999999999</v>
      </c>
      <c r="J33" s="30">
        <v>8.3506213043500317</v>
      </c>
      <c r="K33" s="30">
        <v>15.252247276878512</v>
      </c>
      <c r="L33" s="30">
        <v>3</v>
      </c>
      <c r="M33" s="30">
        <v>0.045999999999999999</v>
      </c>
      <c r="N33" s="30">
        <v>3.0564036336302687</v>
      </c>
      <c r="O33" s="30">
        <v>0.25650000000000001</v>
      </c>
      <c r="P33" s="30">
        <v>0.10500000000000001</v>
      </c>
      <c r="Q33" s="30">
        <v>0.3135</v>
      </c>
      <c r="R33" s="30">
        <v>44.60119110079809</v>
      </c>
      <c r="S33" s="30">
        <v>17.249272431184568</v>
      </c>
      <c r="T33" s="30">
        <v>55.39880889920191</v>
      </c>
      <c r="U33" s="30">
        <v>-1.4330443074552845</v>
      </c>
      <c r="V33" s="30">
        <v>-1.4834541179375971</v>
      </c>
      <c r="W33" s="30">
        <v>0.051306476647336174</v>
      </c>
      <c r="X33" s="30">
        <v>0</v>
      </c>
      <c r="Y33" s="97">
        <v>1.1612500000000001</v>
      </c>
      <c r="Z33" s="30">
        <v>0.71250000000000002</v>
      </c>
      <c r="AA33" s="30">
        <v>0.44875000000000009</v>
      </c>
      <c r="AB33" s="30">
        <v>16.862473585938275</v>
      </c>
      <c r="AC33" s="30">
        <v>23.89311861243468</v>
      </c>
      <c r="AD33" s="30">
        <v>4</v>
      </c>
      <c r="AE33" s="30">
        <v>0.065750000000000003</v>
      </c>
      <c r="AF33" s="30">
        <v>4.0718129102523424</v>
      </c>
      <c r="AG33" s="30">
        <v>0.25800000000000001</v>
      </c>
      <c r="AH33" s="30">
        <v>0.094500000000000001</v>
      </c>
      <c r="AI33" s="30">
        <v>0.45450000000000002</v>
      </c>
      <c r="AJ33" s="30">
        <v>36.372755243722985</v>
      </c>
      <c r="AK33" s="30">
        <v>13.672018792986535</v>
      </c>
      <c r="AL33" s="30">
        <v>63.627244756277015</v>
      </c>
      <c r="AM33" s="30">
        <v>-1.4738991114810689</v>
      </c>
      <c r="AN33" s="30">
        <v>-1.4881546667906953</v>
      </c>
      <c r="AO33" s="30">
        <v>0.12012649672548828</v>
      </c>
      <c r="AP33" s="30">
        <v>0</v>
      </c>
      <c r="AQ33" s="30">
        <v>1.1095000000000002</v>
      </c>
      <c r="AR33" s="30">
        <v>0.55800000000000005</v>
      </c>
      <c r="AS33" s="30">
        <v>0.47649999999999998</v>
      </c>
      <c r="AT33" s="30">
        <v>9.0955039842372472</v>
      </c>
      <c r="AU33" s="30">
        <v>16.300186351679653</v>
      </c>
      <c r="AV33" s="30">
        <v>5</v>
      </c>
      <c r="AW33" s="30">
        <v>0.036000000000000004</v>
      </c>
      <c r="AX33" s="30">
        <v>5.1753406751820688</v>
      </c>
      <c r="AY33" s="30">
        <v>0.20400000000000004</v>
      </c>
      <c r="AZ33" s="30">
        <v>0.081000000000000016</v>
      </c>
      <c r="BA33" s="30">
        <v>0.37200000000000005</v>
      </c>
      <c r="BB33" s="30">
        <v>32.344632768361578</v>
      </c>
      <c r="BC33" s="30">
        <v>12.80754510661564</v>
      </c>
      <c r="BD33" s="30">
        <v>67.655367231638422</v>
      </c>
      <c r="BE33" s="30">
        <v>-1.4937981762153474</v>
      </c>
      <c r="BF33" s="30">
        <v>-1.4306730134276038</v>
      </c>
      <c r="BG33" s="30">
        <v>0.058465619482073246</v>
      </c>
      <c r="BH33" s="30">
        <v>0.5</v>
      </c>
      <c r="BI33" s="30">
        <v>1.5569999999999999</v>
      </c>
      <c r="BJ33" s="30">
        <v>1.0350000000000001</v>
      </c>
      <c r="BK33" s="30">
        <v>0.52200000000000002</v>
      </c>
      <c r="BL33" s="30">
        <v>17.203427674127351</v>
      </c>
      <c r="BM33" s="30">
        <v>16.892361083506014</v>
      </c>
      <c r="BN33" s="30">
        <v>6</v>
      </c>
      <c r="BO33" s="30">
        <v>0.035999999999999997</v>
      </c>
      <c r="BP33" s="30">
        <v>6.0861784668065644</v>
      </c>
      <c r="BQ33" s="30">
        <v>0.28650000000000003</v>
      </c>
      <c r="BR33" s="30">
        <v>0.079500000000000015</v>
      </c>
      <c r="BS33" s="30">
        <v>0.74849999999999994</v>
      </c>
      <c r="BT33" s="30">
        <v>27.715040300212053</v>
      </c>
      <c r="BU33" s="30">
        <v>7.8864835100971131</v>
      </c>
      <c r="BV33" s="30">
        <v>72.284959699787962</v>
      </c>
      <c r="BW33" s="30">
        <v>-1.5273021961062514</v>
      </c>
      <c r="BX33" s="30">
        <v>-1.5491278094608245</v>
      </c>
      <c r="BY33" s="30">
        <v>0.13003138233335415</v>
      </c>
      <c r="BZ33" s="30">
        <v>1.5</v>
      </c>
    </row>
    <row r="34" s="162" customFormat="1">
      <c r="A34" s="52" t="s">
        <v>138</v>
      </c>
      <c r="B34" s="52">
        <v>1</v>
      </c>
      <c r="C34" s="166">
        <v>7.0899999999999999</v>
      </c>
      <c r="D34" s="165">
        <v>0.26385799079622968</v>
      </c>
      <c r="E34" s="49">
        <v>0.11109646326137301</v>
      </c>
      <c r="F34" s="49">
        <v>0.67377334786073273</v>
      </c>
      <c r="G34" s="30">
        <v>0.82725000000000004</v>
      </c>
      <c r="H34" s="30">
        <v>0.51800000000000002</v>
      </c>
      <c r="I34" s="30">
        <v>0.30525000000000002</v>
      </c>
      <c r="J34" s="30">
        <v>8.217376910514254</v>
      </c>
      <c r="K34" s="30">
        <v>16.154456753014738</v>
      </c>
      <c r="L34" s="30">
        <v>3</v>
      </c>
      <c r="M34" s="30">
        <v>0.04725</v>
      </c>
      <c r="N34" s="30">
        <v>2.9839772534001545</v>
      </c>
      <c r="O34" s="30">
        <v>0.318</v>
      </c>
      <c r="P34" s="30">
        <v>0.14700000000000002</v>
      </c>
      <c r="Q34" s="30">
        <v>0.20999999999999999</v>
      </c>
      <c r="R34" s="30">
        <v>59.9481847738043</v>
      </c>
      <c r="S34" s="30">
        <v>27.576674033993356</v>
      </c>
      <c r="T34" s="30">
        <v>40.0518152261957</v>
      </c>
      <c r="U34" s="30">
        <v>-1.4629824232758062</v>
      </c>
      <c r="V34" s="30">
        <v>-1.5075798850649578</v>
      </c>
      <c r="W34" s="30">
        <v>0.042937131441907576</v>
      </c>
      <c r="X34" s="30">
        <v>0</v>
      </c>
      <c r="Y34" s="97">
        <v>1.306</v>
      </c>
      <c r="Z34" s="30">
        <v>0.88200000000000001</v>
      </c>
      <c r="AA34" s="30">
        <v>0.42400000000000004</v>
      </c>
      <c r="AB34" s="30">
        <v>16.45379379385059</v>
      </c>
      <c r="AC34" s="30">
        <v>19.513157828104617</v>
      </c>
      <c r="AD34" s="30">
        <v>4</v>
      </c>
      <c r="AE34" s="30">
        <v>0.057500000000000009</v>
      </c>
      <c r="AF34" s="30">
        <v>4.0348601756587588</v>
      </c>
      <c r="AG34" s="30">
        <v>0.36900000000000005</v>
      </c>
      <c r="AH34" s="30">
        <v>0.1305</v>
      </c>
      <c r="AI34" s="30">
        <v>0.51300000000000012</v>
      </c>
      <c r="AJ34" s="30">
        <v>42.285020507268442</v>
      </c>
      <c r="AK34" s="30">
        <v>14.304197593910658</v>
      </c>
      <c r="AL34" s="30">
        <v>57.714979492731558</v>
      </c>
      <c r="AM34" s="30">
        <v>-1.4687813632867468</v>
      </c>
      <c r="AN34" s="30">
        <v>-1.573115178545291</v>
      </c>
      <c r="AO34" s="30">
        <v>0.19026969568154545</v>
      </c>
      <c r="AP34" s="30">
        <v>0.25</v>
      </c>
      <c r="AQ34" s="30">
        <v>1.4047499999999999</v>
      </c>
      <c r="AR34" s="30">
        <v>0.93750000000000022</v>
      </c>
      <c r="AS34" s="30">
        <v>0.46725000000000005</v>
      </c>
      <c r="AT34" s="30">
        <v>8.8793669873814025</v>
      </c>
      <c r="AU34" s="30">
        <v>10.635635303202296</v>
      </c>
      <c r="AV34" s="30">
        <v>5</v>
      </c>
      <c r="AW34" s="30">
        <v>0.063750000000000001</v>
      </c>
      <c r="AX34" s="30">
        <v>5.0954964391354212</v>
      </c>
      <c r="AY34" s="30">
        <v>0.30299999999999999</v>
      </c>
      <c r="AZ34" s="30">
        <v>0.14549999999999999</v>
      </c>
      <c r="BA34" s="30">
        <v>0.63450000000000006</v>
      </c>
      <c r="BB34" s="30">
        <v>36.319280525445883</v>
      </c>
      <c r="BC34" s="30">
        <v>16.986556842223269</v>
      </c>
      <c r="BD34" s="30">
        <v>63.680719474554124</v>
      </c>
      <c r="BE34" s="30">
        <v>-1.4261178053579486</v>
      </c>
      <c r="BF34" s="30">
        <v>-1.5124000815030296</v>
      </c>
      <c r="BG34" s="30">
        <v>0.17394087195523769</v>
      </c>
      <c r="BH34" s="30">
        <v>1</v>
      </c>
      <c r="BI34" s="30">
        <v>1.7063333333333333</v>
      </c>
      <c r="BJ34" s="30">
        <v>1.302</v>
      </c>
      <c r="BK34" s="30">
        <v>0.50633333333333341</v>
      </c>
      <c r="BL34" s="30">
        <v>17.016251214433616</v>
      </c>
      <c r="BM34" s="30">
        <v>13.093477225386005</v>
      </c>
      <c r="BN34" s="30">
        <v>6</v>
      </c>
      <c r="BO34" s="30">
        <v>0.038249999999999999</v>
      </c>
      <c r="BP34" s="30">
        <v>6.0848844680665293</v>
      </c>
      <c r="BQ34" s="30">
        <v>0.442</v>
      </c>
      <c r="BR34" s="30">
        <v>0.19800000000000004</v>
      </c>
      <c r="BS34" s="30">
        <v>0.80700000000000005</v>
      </c>
      <c r="BT34" s="30">
        <v>36.585401681153108</v>
      </c>
      <c r="BU34" s="30">
        <v>16.094036966579768</v>
      </c>
      <c r="BV34" s="30">
        <v>63.414598318846892</v>
      </c>
      <c r="BW34" s="30">
        <v>-1.4594640370277698</v>
      </c>
      <c r="BX34" s="30">
        <v>-1.5743283746358099</v>
      </c>
      <c r="BY34" s="30">
        <v>0.10829201189292044</v>
      </c>
      <c r="BZ34" s="30">
        <v>1.3333333333333333</v>
      </c>
    </row>
    <row r="35" ht="15">
      <c r="A35" s="42" t="s">
        <v>139</v>
      </c>
      <c r="B35" s="43">
        <v>1</v>
      </c>
      <c r="C35" s="170">
        <v>7.1100000000000003</v>
      </c>
      <c r="D35" s="66">
        <v>0.75430054036809746</v>
      </c>
      <c r="E35" s="67">
        <v>-1.2830520013853826</v>
      </c>
      <c r="F35" s="67">
        <v>0.18533466523209818</v>
      </c>
      <c r="G35" s="30">
        <v>0.97125000000000006</v>
      </c>
      <c r="H35" s="30">
        <v>0.76349999999999996</v>
      </c>
      <c r="I35" s="30">
        <v>0.20775000000000002</v>
      </c>
      <c r="J35" s="30">
        <v>8.1001236631655278</v>
      </c>
      <c r="K35" s="30">
        <v>10.773623041171867</v>
      </c>
      <c r="L35" s="30">
        <v>3</v>
      </c>
      <c r="M35" s="30">
        <v>0.065250000000000002</v>
      </c>
      <c r="N35" s="30">
        <v>3.0083474200164608</v>
      </c>
      <c r="O35" s="30">
        <v>0.47699999999999998</v>
      </c>
      <c r="P35" s="30">
        <v>0.32400000000000007</v>
      </c>
      <c r="Q35" s="30">
        <v>0.28650000000000003</v>
      </c>
      <c r="R35" s="30">
        <v>61.737212675678833</v>
      </c>
      <c r="S35" s="30">
        <v>41.545611222054028</v>
      </c>
      <c r="T35" s="30">
        <v>38.262787324321167</v>
      </c>
      <c r="U35" s="30">
        <v>-1.5543384679606225</v>
      </c>
      <c r="V35" s="30">
        <v>-1.5689250027424024</v>
      </c>
      <c r="W35" s="30">
        <v>0.085089356658023751</v>
      </c>
      <c r="X35" s="30">
        <v>0.33333333333333331</v>
      </c>
      <c r="Y35" s="97">
        <v>2.29725</v>
      </c>
      <c r="Z35" s="30">
        <v>0.86599999999999999</v>
      </c>
      <c r="AA35" s="30">
        <v>1.4677500000000001</v>
      </c>
      <c r="AB35" s="30">
        <v>16.614912576972042</v>
      </c>
      <c r="AC35" s="30">
        <v>19.232744060010916</v>
      </c>
      <c r="AD35" s="30">
        <v>4</v>
      </c>
      <c r="AE35" s="30">
        <v>0.035249999999999997</v>
      </c>
      <c r="AF35" s="30">
        <v>4.0719537541439346</v>
      </c>
      <c r="AG35" s="30">
        <v>0.43499999999999994</v>
      </c>
      <c r="AH35" s="30">
        <v>0.129</v>
      </c>
      <c r="AI35" s="30">
        <v>0.438</v>
      </c>
      <c r="AJ35" s="30">
        <v>52.753751500600245</v>
      </c>
      <c r="AK35" s="30">
        <v>15.65816326530612</v>
      </c>
      <c r="AL35" s="30">
        <v>47.246248499399755</v>
      </c>
      <c r="AM35" s="30">
        <v>-1.5353457081069184</v>
      </c>
      <c r="AN35" s="30">
        <v>-1.6227725033601992</v>
      </c>
      <c r="AO35" s="30">
        <v>0.19518124282234195</v>
      </c>
      <c r="AP35" s="30">
        <v>0</v>
      </c>
      <c r="AQ35" s="30">
        <v>1.5934999999999999</v>
      </c>
      <c r="AR35" s="30">
        <v>1.5075000000000001</v>
      </c>
      <c r="AS35" s="30">
        <v>0.086000000000000007</v>
      </c>
      <c r="AT35" s="30">
        <v>8.5355484134253974</v>
      </c>
      <c r="AU35" s="30">
        <v>5.9123844603534845</v>
      </c>
      <c r="AV35" s="30">
        <v>5</v>
      </c>
      <c r="AW35" s="30">
        <v>0.056499999999999995</v>
      </c>
      <c r="AX35" s="30">
        <v>5.0815937655989663</v>
      </c>
      <c r="AY35" s="30">
        <v>0.70050000000000012</v>
      </c>
      <c r="AZ35" s="30">
        <v>0.46050000000000002</v>
      </c>
      <c r="BA35" s="30">
        <v>0.80700000000000005</v>
      </c>
      <c r="BB35" s="30">
        <v>45.767869132662945</v>
      </c>
      <c r="BC35" s="30">
        <v>28.212780944037764</v>
      </c>
      <c r="BD35" s="30">
        <v>54.232130867337062</v>
      </c>
      <c r="BE35" s="30">
        <v>-1.6571469294799823</v>
      </c>
      <c r="BF35" s="30">
        <v>-1.6840981893171745</v>
      </c>
      <c r="BG35" s="30">
        <v>0.10088453460244037</v>
      </c>
      <c r="BH35" s="30">
        <v>1.25</v>
      </c>
      <c r="BI35" s="30">
        <v>3.7545000000000002</v>
      </c>
      <c r="BJ35" s="30">
        <v>1.3694999999999999</v>
      </c>
      <c r="BK35" s="30">
        <v>2.3850000000000002</v>
      </c>
      <c r="BL35" s="30">
        <v>16.819413858608794</v>
      </c>
      <c r="BM35" s="30">
        <v>12.472018275845473</v>
      </c>
      <c r="BN35" s="30">
        <v>6</v>
      </c>
      <c r="BO35" s="30">
        <v>0.049500000000000002</v>
      </c>
      <c r="BP35" s="30">
        <v>6.0652005874852382</v>
      </c>
      <c r="BQ35" s="30">
        <v>0.52800000000000002</v>
      </c>
      <c r="BR35" s="30">
        <v>0.29849999999999999</v>
      </c>
      <c r="BS35" s="30">
        <v>0.84150000000000014</v>
      </c>
      <c r="BT35" s="30">
        <v>37.598506823998719</v>
      </c>
      <c r="BU35" s="30">
        <v>20.537913278725739</v>
      </c>
      <c r="BV35" s="30">
        <v>62.401493176001281</v>
      </c>
      <c r="BW35" s="30">
        <v>-1.5086528764064799</v>
      </c>
      <c r="BX35" s="30">
        <v>-1.5915642566522235</v>
      </c>
      <c r="BY35" s="30">
        <v>0.14485632737567794</v>
      </c>
      <c r="BZ35" s="30">
        <v>2.25</v>
      </c>
    </row>
    <row r="36" s="162" customFormat="1">
      <c r="A36" s="52" t="s">
        <v>138</v>
      </c>
      <c r="B36" s="52">
        <v>1</v>
      </c>
      <c r="C36" s="171">
        <v>8</v>
      </c>
      <c r="D36" s="165">
        <v>-0.14612121054076252</v>
      </c>
      <c r="E36" s="49">
        <v>2.7251523634526253</v>
      </c>
      <c r="F36" s="49">
        <v>0.025280087167529053</v>
      </c>
      <c r="G36" s="30">
        <v>2.3462500000000004</v>
      </c>
      <c r="H36" s="30">
        <v>2.1945000000000001</v>
      </c>
      <c r="I36" s="30">
        <v>0.15175</v>
      </c>
      <c r="J36" s="30">
        <v>8.2202631259593524</v>
      </c>
      <c r="K36" s="30">
        <v>7.4725943994581145</v>
      </c>
      <c r="L36" s="30">
        <v>3</v>
      </c>
      <c r="M36" s="30">
        <v>0.028250000000000004</v>
      </c>
      <c r="N36" s="30">
        <v>3.004454942061713</v>
      </c>
      <c r="O36" s="30">
        <v>0.40650000000000003</v>
      </c>
      <c r="P36" s="30">
        <v>0.19800000000000001</v>
      </c>
      <c r="Q36" s="30">
        <v>1.7880000000000003</v>
      </c>
      <c r="R36" s="30">
        <v>35.369869761211675</v>
      </c>
      <c r="S36" s="30">
        <v>17.53487418077269</v>
      </c>
      <c r="T36" s="30">
        <v>64.630130238788325</v>
      </c>
      <c r="U36" s="30">
        <v>-2.5374662467575995</v>
      </c>
      <c r="V36" s="30">
        <v>-1.8069375185104994</v>
      </c>
      <c r="W36" s="30">
        <v>0.17458713890306118</v>
      </c>
      <c r="X36" s="30">
        <v>0.33333333333333331</v>
      </c>
      <c r="Y36" s="97">
        <v>1.9509999999999998</v>
      </c>
      <c r="Z36" s="30">
        <v>1.6659999999999997</v>
      </c>
      <c r="AA36" s="30">
        <v>0.28499999999999998</v>
      </c>
      <c r="AB36" s="30">
        <v>16.963053001955476</v>
      </c>
      <c r="AC36" s="30">
        <v>12.808447638625411</v>
      </c>
      <c r="AD36" s="30">
        <v>4</v>
      </c>
      <c r="AE36" s="30">
        <v>0.063</v>
      </c>
      <c r="AF36" s="30">
        <v>4.0482123370895566</v>
      </c>
      <c r="AG36" s="30">
        <v>1.258</v>
      </c>
      <c r="AH36" s="30">
        <v>0.51600000000000001</v>
      </c>
      <c r="AI36" s="30">
        <v>0.40799999999999992</v>
      </c>
      <c r="AJ36" s="30">
        <v>74.951204537829128</v>
      </c>
      <c r="AK36" s="30">
        <v>31.257061464245613</v>
      </c>
      <c r="AL36" s="30">
        <v>25.048795462170862</v>
      </c>
      <c r="AM36" s="30">
        <v>-1.8189324481025615</v>
      </c>
      <c r="AN36" s="30">
        <v>-1.908004358997653</v>
      </c>
      <c r="AO36" s="30">
        <v>0.1734331251369978</v>
      </c>
      <c r="AP36" s="30">
        <v>1</v>
      </c>
      <c r="AQ36" s="30">
        <v>2.0750000000000002</v>
      </c>
      <c r="AR36" s="30">
        <v>1.9935000000000003</v>
      </c>
      <c r="AS36" s="30">
        <v>0.081500000000000017</v>
      </c>
      <c r="AT36" s="30">
        <v>8.5505421209127412</v>
      </c>
      <c r="AU36" s="30">
        <v>4.3764544291552179</v>
      </c>
      <c r="AV36" s="30">
        <v>5</v>
      </c>
      <c r="AW36" s="30">
        <v>0.038500000000000006</v>
      </c>
      <c r="AX36" s="30">
        <v>5.0784228441228025</v>
      </c>
      <c r="AY36" s="30">
        <v>0.58800000000000008</v>
      </c>
      <c r="AZ36" s="30">
        <v>0.24450000000000002</v>
      </c>
      <c r="BA36" s="30">
        <v>1.4055</v>
      </c>
      <c r="BB36" s="30">
        <v>32.597902491990297</v>
      </c>
      <c r="BC36" s="30">
        <v>13.171839709531444</v>
      </c>
      <c r="BD36" s="30">
        <v>67.402097508009703</v>
      </c>
      <c r="BE36" s="30">
        <v>-1.8922455029222618</v>
      </c>
      <c r="BF36" s="30">
        <v>-1.6824611958613649</v>
      </c>
      <c r="BG36" s="30">
        <v>0.096202723136504423</v>
      </c>
      <c r="BH36" s="30">
        <v>4.333333333333333</v>
      </c>
      <c r="BI36" s="30">
        <v>1.8265000000000002</v>
      </c>
      <c r="BJ36" s="30">
        <v>1.3719999999999999</v>
      </c>
      <c r="BK36" s="30">
        <v>0.45449999999999996</v>
      </c>
      <c r="BL36" s="30">
        <v>17.240439356776264</v>
      </c>
      <c r="BM36" s="30">
        <v>12.667645023632019</v>
      </c>
      <c r="BN36" s="30">
        <v>6</v>
      </c>
      <c r="BO36" s="30">
        <v>0.053749999999999999</v>
      </c>
      <c r="BP36" s="30">
        <v>6.0824434410520256</v>
      </c>
      <c r="BQ36" s="30">
        <v>0.29400000000000004</v>
      </c>
      <c r="BR36" s="30">
        <v>0.096000000000000016</v>
      </c>
      <c r="BS36" s="30">
        <v>1.0779999999999998</v>
      </c>
      <c r="BT36" s="30">
        <v>20.933012048192772</v>
      </c>
      <c r="BU36" s="30">
        <v>6.8960642570281125</v>
      </c>
      <c r="BV36" s="30">
        <v>79.066987951807221</v>
      </c>
      <c r="BW36" s="30">
        <v>-1.6210291013973432</v>
      </c>
      <c r="BX36" s="30">
        <v>-1.527604589496864</v>
      </c>
      <c r="BY36" s="30">
        <v>0.18878243020121918</v>
      </c>
      <c r="BZ36" s="30">
        <v>3.5</v>
      </c>
    </row>
    <row r="37">
      <c r="A37" s="42" t="s">
        <v>139</v>
      </c>
      <c r="B37" s="43">
        <v>1</v>
      </c>
      <c r="C37" s="151">
        <v>8</v>
      </c>
      <c r="D37" s="120">
        <v>0.25617367224213494</v>
      </c>
      <c r="E37" s="30">
        <v>0.37346095611607572</v>
      </c>
      <c r="F37" s="30">
        <v>0.41795209009061585</v>
      </c>
      <c r="G37" s="30">
        <v>1.0690000000000002</v>
      </c>
      <c r="H37" s="30">
        <v>0.80400000000000005</v>
      </c>
      <c r="I37" s="30">
        <v>0.26500000000000001</v>
      </c>
      <c r="J37" s="30">
        <v>9.0384605881398059</v>
      </c>
      <c r="K37" s="30">
        <v>11.376975039447588</v>
      </c>
      <c r="L37" s="30">
        <v>3</v>
      </c>
      <c r="M37" s="30">
        <v>0.037999999999999999</v>
      </c>
      <c r="N37" s="30">
        <v>3.1707514892235622</v>
      </c>
      <c r="O37" s="30">
        <v>0.45450000000000002</v>
      </c>
      <c r="P37" s="30">
        <v>0.17549999999999999</v>
      </c>
      <c r="Q37" s="30">
        <v>0.34950000000000003</v>
      </c>
      <c r="R37" s="30">
        <v>56.970797797689741</v>
      </c>
      <c r="S37" s="30">
        <v>22.109616056289731</v>
      </c>
      <c r="T37" s="30">
        <v>43.029202202310266</v>
      </c>
      <c r="U37" s="30">
        <v>-1.6689661108190605</v>
      </c>
      <c r="V37" s="30">
        <v>-1.6450798297643616</v>
      </c>
      <c r="W37" s="30">
        <v>0.076818719330938492</v>
      </c>
      <c r="X37" s="30">
        <v>0.5</v>
      </c>
      <c r="Y37" s="97">
        <v>1.6620000000000001</v>
      </c>
      <c r="Z37" s="30">
        <v>1.3515000000000001</v>
      </c>
      <c r="AA37" s="30">
        <v>0.31050000000000005</v>
      </c>
      <c r="AB37" s="30">
        <v>16.693456717780737</v>
      </c>
      <c r="AC37" s="30">
        <v>14.080858495759907</v>
      </c>
      <c r="AD37" s="30">
        <v>4</v>
      </c>
      <c r="AE37" s="30">
        <v>0.018000000000000002</v>
      </c>
      <c r="AF37" s="30">
        <v>4.0558741818144775</v>
      </c>
      <c r="AG37" s="30">
        <v>0.62550000000000006</v>
      </c>
      <c r="AH37" s="30">
        <v>0.25950000000000001</v>
      </c>
      <c r="AI37" s="30">
        <v>0.72600000000000009</v>
      </c>
      <c r="AJ37" s="30">
        <v>47.68772005304136</v>
      </c>
      <c r="AK37" s="30">
        <v>20.770158937011313</v>
      </c>
      <c r="AL37" s="30">
        <v>52.31227994695864</v>
      </c>
      <c r="AM37" s="30">
        <v>-1.6840260999555325</v>
      </c>
      <c r="AN37" s="30">
        <v>-1.6683726492074897</v>
      </c>
      <c r="AO37" s="30">
        <v>0.11497702408300647</v>
      </c>
      <c r="AP37" s="30">
        <v>1.75</v>
      </c>
      <c r="AQ37" s="30">
        <v>1.5295000000000001</v>
      </c>
      <c r="AR37" s="30">
        <v>1.3440000000000001</v>
      </c>
      <c r="AS37" s="30">
        <v>0.35500000000000004</v>
      </c>
      <c r="AT37" s="30">
        <v>8.9604570652236788</v>
      </c>
      <c r="AU37" s="30">
        <v>6.6670067449580941</v>
      </c>
      <c r="AV37" s="30">
        <v>5</v>
      </c>
      <c r="AW37" s="30">
        <v>0.057499999999999996</v>
      </c>
      <c r="AX37" s="30">
        <v>5.1516773395994768</v>
      </c>
      <c r="AY37" s="30">
        <v>0.28800000000000003</v>
      </c>
      <c r="AZ37" s="30">
        <v>0.042000000000000003</v>
      </c>
      <c r="BA37" s="30">
        <v>1.0800000000000001</v>
      </c>
      <c r="BB37" s="30">
        <v>24.946977263278988</v>
      </c>
      <c r="BC37" s="30">
        <v>3.9933340911164934</v>
      </c>
      <c r="BD37" s="30">
        <v>75.053022736721005</v>
      </c>
      <c r="BE37" s="30">
        <v>-1.5428498107291599</v>
      </c>
      <c r="BF37" s="30">
        <v>-1.490231971708921</v>
      </c>
      <c r="BG37" s="30">
        <v>0.11411305681217616</v>
      </c>
      <c r="BH37" s="30">
        <v>1.75</v>
      </c>
      <c r="BI37" s="30">
        <v>1.9597500000000001</v>
      </c>
      <c r="BJ37" s="30">
        <v>1.5</v>
      </c>
      <c r="BK37" s="30">
        <v>0.4597500000000001</v>
      </c>
      <c r="BL37" s="30">
        <v>16.89956126529766</v>
      </c>
      <c r="BM37" s="30">
        <v>11.722793590058229</v>
      </c>
      <c r="BN37" s="30">
        <v>6</v>
      </c>
      <c r="BO37" s="30">
        <v>0.04725</v>
      </c>
      <c r="BP37" s="30">
        <v>6.0717044946938881</v>
      </c>
      <c r="BQ37" s="30">
        <v>0.54149999999999998</v>
      </c>
      <c r="BR37" s="30">
        <v>0.36000000000000004</v>
      </c>
      <c r="BS37" s="30">
        <v>0.95850000000000013</v>
      </c>
      <c r="BT37" s="30">
        <v>36.300021130626767</v>
      </c>
      <c r="BU37" s="30">
        <v>22.880294711488204</v>
      </c>
      <c r="BV37" s="30">
        <v>63.699978869373226</v>
      </c>
      <c r="BW37" s="30">
        <v>-1.5856287245539695</v>
      </c>
      <c r="BX37" s="30">
        <v>-1.6898481827577931</v>
      </c>
      <c r="BY37" s="30">
        <v>0.12862603912351112</v>
      </c>
      <c r="BZ37" s="30">
        <v>2</v>
      </c>
    </row>
    <row r="38" s="162" customFormat="1">
      <c r="A38" s="52" t="s">
        <v>138</v>
      </c>
      <c r="B38" s="52">
        <v>1</v>
      </c>
      <c r="C38" s="172">
        <v>8.0099999999999998</v>
      </c>
      <c r="D38" s="165">
        <v>0.13424415720810218</v>
      </c>
      <c r="E38" s="49">
        <v>0.73397371507141562</v>
      </c>
      <c r="F38" s="49">
        <v>0.25825319066273522</v>
      </c>
      <c r="G38" s="30">
        <v>1.21675</v>
      </c>
      <c r="H38" s="30">
        <v>0.84000000000000008</v>
      </c>
      <c r="I38" s="30">
        <v>0.37674999999999997</v>
      </c>
      <c r="J38" s="30">
        <v>9.2691733322435539</v>
      </c>
      <c r="K38" s="30">
        <v>11.233684829686453</v>
      </c>
      <c r="L38" s="30">
        <v>3</v>
      </c>
      <c r="M38" s="30">
        <v>0.043249999999999997</v>
      </c>
      <c r="N38" s="30">
        <v>3.0815477049047546</v>
      </c>
      <c r="O38" s="30">
        <v>0.37350000000000005</v>
      </c>
      <c r="P38" s="30">
        <v>0.21150000000000002</v>
      </c>
      <c r="Q38" s="30">
        <v>0.46650000000000003</v>
      </c>
      <c r="R38" s="30">
        <v>44.351076210070545</v>
      </c>
      <c r="S38" s="30">
        <v>23.546010781233008</v>
      </c>
      <c r="T38" s="30">
        <v>55.648923789929448</v>
      </c>
      <c r="U38" s="30">
        <v>-1.5156007329613472</v>
      </c>
      <c r="V38" s="30">
        <v>-1.6102238943333345</v>
      </c>
      <c r="W38" s="30">
        <v>0.20697327237712473</v>
      </c>
      <c r="X38" s="30">
        <v>1.6666666666666667</v>
      </c>
      <c r="Y38" s="97">
        <v>1.2177500000000001</v>
      </c>
      <c r="Z38" s="30">
        <v>0.94800000000000006</v>
      </c>
      <c r="AA38" s="30">
        <v>0.26975000000000005</v>
      </c>
      <c r="AB38" s="30">
        <v>17.34826428343802</v>
      </c>
      <c r="AC38" s="30">
        <v>18.951648601116879</v>
      </c>
      <c r="AD38" s="30">
        <v>4</v>
      </c>
      <c r="AE38" s="30">
        <v>0.064750000000000002</v>
      </c>
      <c r="AF38" s="30">
        <v>4.096005944726393</v>
      </c>
      <c r="AG38" s="30">
        <v>0.40200000000000002</v>
      </c>
      <c r="AH38" s="30">
        <v>0.1305</v>
      </c>
      <c r="AI38" s="30">
        <v>0.54600000000000004</v>
      </c>
      <c r="AJ38" s="30">
        <v>43.724809271027759</v>
      </c>
      <c r="AK38" s="30">
        <v>13.858419824806381</v>
      </c>
      <c r="AL38" s="30">
        <v>56.275190728972248</v>
      </c>
      <c r="AM38" s="30">
        <v>-1.4838986732675248</v>
      </c>
      <c r="AN38" s="30">
        <v>-1.6022877260862614</v>
      </c>
      <c r="AO38" s="30">
        <v>0.095833269770532969</v>
      </c>
      <c r="AP38" s="30">
        <v>1</v>
      </c>
      <c r="AQ38" s="30">
        <v>1.3287500000000001</v>
      </c>
      <c r="AR38" s="30">
        <v>1.0169999999999999</v>
      </c>
      <c r="AS38" s="30">
        <v>0.31175000000000003</v>
      </c>
      <c r="AT38" s="30">
        <v>8.9308438765653868</v>
      </c>
      <c r="AU38" s="30">
        <v>9.1203454431322903</v>
      </c>
      <c r="AV38" s="30">
        <v>5</v>
      </c>
      <c r="AW38" s="30">
        <v>0.055750000000000008</v>
      </c>
      <c r="AX38" s="30">
        <v>5.1206919763789536</v>
      </c>
      <c r="AY38" s="30">
        <v>0.40500000000000008</v>
      </c>
      <c r="AZ38" s="30">
        <v>0.24000000000000005</v>
      </c>
      <c r="BA38" s="30">
        <v>0.61199999999999999</v>
      </c>
      <c r="BB38" s="30">
        <v>41.482294554650622</v>
      </c>
      <c r="BC38" s="30">
        <v>23.115443991764725</v>
      </c>
      <c r="BD38" s="30">
        <v>58.517705445349385</v>
      </c>
      <c r="BE38" s="30">
        <v>-1.6070340121157038</v>
      </c>
      <c r="BF38" s="30">
        <v>-1.8403840084768941</v>
      </c>
      <c r="BG38" s="30">
        <v>0.11875678766160801</v>
      </c>
      <c r="BH38" s="30">
        <v>1.6666666666666667</v>
      </c>
      <c r="BI38" s="30">
        <v>1.656666666666667</v>
      </c>
      <c r="BJ38" s="30">
        <v>1.2940000000000003</v>
      </c>
      <c r="BK38" s="30">
        <v>0.36266666666666669</v>
      </c>
      <c r="BL38" s="30">
        <v>16.721073165989274</v>
      </c>
      <c r="BM38" s="30">
        <v>13.722409728415622</v>
      </c>
      <c r="BN38" s="30">
        <v>6</v>
      </c>
      <c r="BO38" s="30">
        <v>0.057250000000000002</v>
      </c>
      <c r="BP38" s="30">
        <v>6.0385830782814454</v>
      </c>
      <c r="BQ38" s="30">
        <v>0.44800000000000001</v>
      </c>
      <c r="BR38" s="30">
        <v>0.156</v>
      </c>
      <c r="BS38" s="30">
        <v>0.84600000000000009</v>
      </c>
      <c r="BT38" s="30">
        <v>34.552430496867487</v>
      </c>
      <c r="BU38" s="30">
        <v>11.216754773502842</v>
      </c>
      <c r="BV38" s="30">
        <v>65.447569503132527</v>
      </c>
      <c r="BW38" s="30">
        <v>-1.5079012043353675</v>
      </c>
      <c r="BX38" s="30">
        <v>-1.6402382863152161</v>
      </c>
      <c r="BY38" s="30">
        <v>0.12714120135246024</v>
      </c>
      <c r="BZ38" s="30">
        <v>2</v>
      </c>
    </row>
    <row r="39" s="162" customFormat="1">
      <c r="A39" s="52" t="s">
        <v>138</v>
      </c>
      <c r="B39" s="52">
        <v>2</v>
      </c>
      <c r="C39" s="172">
        <v>8.0099999999999998</v>
      </c>
      <c r="D39" s="165">
        <v>-0.062802552083291108</v>
      </c>
      <c r="E39" s="49">
        <v>1.9286691017940725</v>
      </c>
      <c r="F39" s="49">
        <v>0.033800817599776933</v>
      </c>
      <c r="G39" s="30">
        <v>1.7230000000000001</v>
      </c>
      <c r="H39" s="30">
        <v>1.1055000000000001</v>
      </c>
      <c r="I39" s="30">
        <v>0.61750000000000016</v>
      </c>
      <c r="J39" s="30">
        <v>8.7220598891554229</v>
      </c>
      <c r="K39" s="30">
        <v>8.0557298804765658</v>
      </c>
      <c r="L39" s="30">
        <v>3</v>
      </c>
      <c r="M39" s="30">
        <v>0.066500000000000004</v>
      </c>
      <c r="N39" s="30">
        <v>3.1194068332691454</v>
      </c>
      <c r="O39" s="30">
        <v>0.69000000000000006</v>
      </c>
      <c r="P39" s="30">
        <v>0.15600000000000003</v>
      </c>
      <c r="Q39" s="30">
        <v>0.41549999999999992</v>
      </c>
      <c r="R39" s="30">
        <v>61.71107354919021</v>
      </c>
      <c r="S39" s="30">
        <v>15.351277256213773</v>
      </c>
      <c r="T39" s="30">
        <v>38.28892645080979</v>
      </c>
      <c r="U39" s="30">
        <v>-1.5485911200881524</v>
      </c>
      <c r="V39" s="30">
        <v>-1.6844817318313883</v>
      </c>
      <c r="W39" s="30">
        <v>0.047248350678647709</v>
      </c>
      <c r="X39" s="30">
        <v>0</v>
      </c>
      <c r="Y39" s="97">
        <v>1.8477500000000002</v>
      </c>
      <c r="Z39" s="30">
        <v>1.3545000000000003</v>
      </c>
      <c r="AA39" s="30">
        <v>0.49325000000000002</v>
      </c>
      <c r="AB39" s="30">
        <v>16.965477717624065</v>
      </c>
      <c r="AC39" s="30">
        <v>13.297733320088785</v>
      </c>
      <c r="AD39" s="30">
        <v>4</v>
      </c>
      <c r="AE39" s="30">
        <v>0.066250000000000003</v>
      </c>
      <c r="AF39" s="30">
        <v>4.0823250678721426</v>
      </c>
      <c r="AG39" s="30">
        <v>0.58350000000000002</v>
      </c>
      <c r="AH39" s="30">
        <v>0.33899999999999997</v>
      </c>
      <c r="AI39" s="30">
        <v>0.77100000000000013</v>
      </c>
      <c r="AJ39" s="30">
        <v>43.449513569332225</v>
      </c>
      <c r="AK39" s="30">
        <v>24.601005092028107</v>
      </c>
      <c r="AL39" s="30">
        <v>56.550486430667775</v>
      </c>
      <c r="AM39" s="30">
        <v>-1.5748050283019392</v>
      </c>
      <c r="AN39" s="30">
        <v>-1.6428755112117366</v>
      </c>
      <c r="AO39" s="30">
        <v>0.082880748619696049</v>
      </c>
      <c r="AP39" s="30">
        <v>1</v>
      </c>
      <c r="AQ39" s="30">
        <v>1.2582499999999999</v>
      </c>
      <c r="AR39" s="30">
        <v>0.9840000000000001</v>
      </c>
      <c r="AS39" s="30">
        <v>0.33574999999999999</v>
      </c>
      <c r="AT39" s="30">
        <v>8.9521853584773563</v>
      </c>
      <c r="AU39" s="30">
        <v>9.2041837422539583</v>
      </c>
      <c r="AV39" s="30">
        <v>5</v>
      </c>
      <c r="AW39" s="30">
        <v>0.05425</v>
      </c>
      <c r="AX39" s="30">
        <v>5.1683948420807804</v>
      </c>
      <c r="AY39" s="30">
        <v>0.32250000000000001</v>
      </c>
      <c r="AZ39" s="30">
        <v>0.20699999999999999</v>
      </c>
      <c r="BA39" s="30">
        <v>0.65200000000000002</v>
      </c>
      <c r="BB39" s="30">
        <v>35.257622912007378</v>
      </c>
      <c r="BC39" s="30">
        <v>21.661789102151417</v>
      </c>
      <c r="BD39" s="30">
        <v>64.742377087992622</v>
      </c>
      <c r="BE39" s="30">
        <v>-1.5137198401243166</v>
      </c>
      <c r="BF39" s="30">
        <v>-1.523485631754657</v>
      </c>
      <c r="BG39" s="30">
        <v>0.11978425797815362</v>
      </c>
      <c r="BH39" s="30">
        <v>1.25</v>
      </c>
      <c r="BI39" s="30">
        <v>1.7262500000000003</v>
      </c>
      <c r="BJ39" s="30">
        <v>1.3035000000000001</v>
      </c>
      <c r="BK39" s="30">
        <v>0.4227499999999999</v>
      </c>
      <c r="BL39" s="30">
        <v>17.072335102733639</v>
      </c>
      <c r="BM39" s="30">
        <v>13.444707849252861</v>
      </c>
      <c r="BN39" s="30">
        <v>6</v>
      </c>
      <c r="BO39" s="30">
        <v>0.066250000000000003</v>
      </c>
      <c r="BP39" s="30">
        <v>6.0913269511853336</v>
      </c>
      <c r="BQ39" s="30">
        <v>0.43800000000000006</v>
      </c>
      <c r="BR39" s="30">
        <v>0.25350000000000006</v>
      </c>
      <c r="BS39" s="30">
        <v>0.86550000000000016</v>
      </c>
      <c r="BT39" s="30">
        <v>35.21661219506084</v>
      </c>
      <c r="BU39" s="30">
        <v>19.69085165770538</v>
      </c>
      <c r="BV39" s="30">
        <v>64.783387804939167</v>
      </c>
      <c r="BW39" s="30">
        <v>-1.5099148142949566</v>
      </c>
      <c r="BX39" s="30">
        <v>-1.5645215130158205</v>
      </c>
      <c r="BY39" s="30">
        <v>0.061578332631351332</v>
      </c>
      <c r="BZ39" s="30">
        <v>1.5</v>
      </c>
    </row>
    <row r="40" s="162" customFormat="1">
      <c r="A40" s="52" t="s">
        <v>138</v>
      </c>
      <c r="B40" s="52">
        <v>2</v>
      </c>
      <c r="C40" s="172">
        <v>8.0099999999999998</v>
      </c>
      <c r="D40" s="165">
        <v>0.11814960933834694</v>
      </c>
      <c r="E40" s="49">
        <v>0.32313764471802076</v>
      </c>
      <c r="F40" s="49">
        <v>0.64924601847408825</v>
      </c>
      <c r="G40" s="30">
        <v>0.66975000000000007</v>
      </c>
      <c r="H40" s="30">
        <v>0.42750000000000005</v>
      </c>
      <c r="I40" s="30">
        <v>0.24224999999999999</v>
      </c>
      <c r="J40" s="30">
        <v>9.0522615485218765</v>
      </c>
      <c r="K40" s="30">
        <v>21.292242882472451</v>
      </c>
      <c r="L40" s="30">
        <v>3</v>
      </c>
      <c r="M40" s="30">
        <v>0.057749999999999989</v>
      </c>
      <c r="N40" s="30">
        <v>3.1731059073650449</v>
      </c>
      <c r="O40" s="30">
        <v>0.20100000000000001</v>
      </c>
      <c r="P40" s="30">
        <v>0.076500000000000012</v>
      </c>
      <c r="Q40" s="30">
        <v>0.22649999999999998</v>
      </c>
      <c r="R40" s="30">
        <v>47.035190400751041</v>
      </c>
      <c r="S40" s="30">
        <v>17.933095699114006</v>
      </c>
      <c r="T40" s="30">
        <v>52.964809599248966</v>
      </c>
      <c r="U40" s="30">
        <v>-1.4059939883204819</v>
      </c>
      <c r="V40" s="30">
        <v>-1.4214984269827706</v>
      </c>
      <c r="W40" s="30">
        <v>0.082084185123047604</v>
      </c>
      <c r="X40" s="30">
        <v>0</v>
      </c>
      <c r="Y40" s="97">
        <v>0.873</v>
      </c>
      <c r="Z40" s="30">
        <v>0.52800000000000002</v>
      </c>
      <c r="AA40" s="30">
        <v>0.34500000000000003</v>
      </c>
      <c r="AB40" s="30">
        <v>17.392483117885138</v>
      </c>
      <c r="AC40" s="30">
        <v>33.136852331806551</v>
      </c>
      <c r="AD40" s="30">
        <v>4</v>
      </c>
      <c r="AE40" s="30">
        <v>0.052500000000000005</v>
      </c>
      <c r="AF40" s="30">
        <v>4.116612708703892</v>
      </c>
      <c r="AG40" s="30">
        <v>0.22800000000000004</v>
      </c>
      <c r="AH40" s="30">
        <v>0.097500000000000003</v>
      </c>
      <c r="AI40" s="30">
        <v>0.30000000000000004</v>
      </c>
      <c r="AJ40" s="30">
        <v>43.207750356263759</v>
      </c>
      <c r="AK40" s="30">
        <v>18.431973863194713</v>
      </c>
      <c r="AL40" s="30">
        <v>56.792249643736241</v>
      </c>
      <c r="AM40" s="30">
        <v>-1.4080639616323241</v>
      </c>
      <c r="AN40" s="30">
        <v>-1.447024261412136</v>
      </c>
      <c r="AO40" s="30">
        <v>0.1114704713654199</v>
      </c>
      <c r="AP40" s="30">
        <v>0</v>
      </c>
      <c r="AQ40" s="30">
        <v>0.88650000000000007</v>
      </c>
      <c r="AR40" s="30">
        <v>0.63</v>
      </c>
      <c r="AS40" s="30">
        <v>0.3765</v>
      </c>
      <c r="AT40" s="30">
        <v>8.7972326193079056</v>
      </c>
      <c r="AU40" s="30">
        <v>13.963861300488739</v>
      </c>
      <c r="AV40" s="30">
        <v>5</v>
      </c>
      <c r="AW40" s="30">
        <v>0.048000000000000001</v>
      </c>
      <c r="AX40" s="30">
        <v>5.2044401971062619</v>
      </c>
      <c r="AY40" s="30">
        <v>0.20550000000000002</v>
      </c>
      <c r="AZ40" s="30">
        <v>0.076500000000000012</v>
      </c>
      <c r="BA40" s="30">
        <v>0.41399999999999998</v>
      </c>
      <c r="BB40" s="30">
        <v>41.022186147186147</v>
      </c>
      <c r="BC40" s="30">
        <v>15.143939393939394</v>
      </c>
      <c r="BD40" s="30">
        <v>58.977813852813846</v>
      </c>
      <c r="BE40" s="30">
        <v>-1.4061795121340301</v>
      </c>
      <c r="BF40" s="30">
        <v>-1.422723397694627</v>
      </c>
      <c r="BG40" s="30">
        <v>0.049095458192744648</v>
      </c>
      <c r="BH40" s="30">
        <v>0.25</v>
      </c>
      <c r="BI40" s="30">
        <v>1.05925</v>
      </c>
      <c r="BJ40" s="30">
        <v>0.75</v>
      </c>
      <c r="BK40" s="30">
        <v>0.36925000000000008</v>
      </c>
      <c r="BL40" s="30">
        <v>17.373511181732066</v>
      </c>
      <c r="BM40" s="30">
        <v>23.907583062368506</v>
      </c>
      <c r="BN40" s="30">
        <v>6</v>
      </c>
      <c r="BO40" s="30">
        <v>0.052249999999999998</v>
      </c>
      <c r="BP40" s="30">
        <v>6.0920170821622177</v>
      </c>
      <c r="BQ40" s="30">
        <v>0.22800000000000004</v>
      </c>
      <c r="BR40" s="30">
        <v>0.088500000000000009</v>
      </c>
      <c r="BS40" s="30">
        <v>0.52600000000000002</v>
      </c>
      <c r="BT40" s="30">
        <v>35.154120744963251</v>
      </c>
      <c r="BU40" s="30">
        <v>13.464941382528849</v>
      </c>
      <c r="BV40" s="30">
        <v>64.845879255036749</v>
      </c>
      <c r="BW40" s="30">
        <v>-1.4304565617539553</v>
      </c>
      <c r="BX40" s="30">
        <v>-1.4571683032520741</v>
      </c>
      <c r="BY40" s="30">
        <v>0.19959025368244993</v>
      </c>
      <c r="BZ40" s="30">
        <v>0.75</v>
      </c>
    </row>
    <row r="41">
      <c r="A41" s="43" t="s">
        <v>139</v>
      </c>
      <c r="B41" s="43">
        <v>1</v>
      </c>
      <c r="C41" s="149">
        <v>8.0199999999999996</v>
      </c>
      <c r="D41" s="120">
        <v>-0.66524438054239365</v>
      </c>
      <c r="E41" s="30">
        <v>5.6441470627340538</v>
      </c>
      <c r="F41" s="30">
        <v>0.12471124350298735</v>
      </c>
      <c r="G41" s="30">
        <v>4.8559999999999999</v>
      </c>
      <c r="H41" s="30">
        <v>4.4009999999999998</v>
      </c>
      <c r="I41" s="30">
        <v>0.45500000000000007</v>
      </c>
      <c r="J41" s="30">
        <v>8.5445359343090885</v>
      </c>
      <c r="K41" s="30">
        <v>17.40990132591801</v>
      </c>
      <c r="L41" s="30">
        <v>3</v>
      </c>
      <c r="M41" s="30">
        <v>0.056500000000000009</v>
      </c>
      <c r="N41" s="30">
        <v>3.0738970112943487</v>
      </c>
      <c r="O41" s="30">
        <v>0.45600000000000002</v>
      </c>
      <c r="P41" s="30">
        <v>0.36899999999999999</v>
      </c>
      <c r="Q41" s="30">
        <v>3.9450000000000003</v>
      </c>
      <c r="R41" s="30">
        <v>31.167369901547119</v>
      </c>
      <c r="S41" s="30">
        <v>16.160337552742618</v>
      </c>
      <c r="T41" s="30">
        <v>68.832630098452881</v>
      </c>
      <c r="U41" s="30">
        <v>-1.7111725425125368</v>
      </c>
      <c r="V41" s="30">
        <v>-1.6233579775872802</v>
      </c>
      <c r="W41" s="30">
        <v>0.10904581507035831</v>
      </c>
      <c r="X41" s="30">
        <v>15.5</v>
      </c>
      <c r="Y41" s="97">
        <v>1.0275000000000001</v>
      </c>
      <c r="Z41" s="30">
        <v>0.29400000000000004</v>
      </c>
      <c r="AA41" s="30">
        <v>0.73349999999999993</v>
      </c>
      <c r="AB41" s="30">
        <v>17.007105152400811</v>
      </c>
      <c r="AC41" s="30">
        <v>58.096456459422832</v>
      </c>
      <c r="AD41" s="30">
        <v>4</v>
      </c>
      <c r="AE41" s="30">
        <v>0.033500000000000002</v>
      </c>
      <c r="AF41" s="30">
        <v>4.0850630240012791</v>
      </c>
      <c r="AG41" s="30">
        <v>0.16500000000000001</v>
      </c>
      <c r="AH41" s="30">
        <v>0.078</v>
      </c>
      <c r="AI41" s="30">
        <v>0.129</v>
      </c>
      <c r="AJ41" s="30">
        <v>56.270903010033443</v>
      </c>
      <c r="AK41" s="30">
        <v>26.630434782608699</v>
      </c>
      <c r="AL41" s="30">
        <v>43.729096989966557</v>
      </c>
      <c r="AM41" s="30">
        <v>-1.407636437439197</v>
      </c>
      <c r="AN41" s="30">
        <v>-1.3533541738134218</v>
      </c>
      <c r="AO41" s="30">
        <v>0.05972509371258574</v>
      </c>
      <c r="AP41" s="30">
        <v>0</v>
      </c>
      <c r="AQ41" s="30">
        <v>1.9495000000000005</v>
      </c>
      <c r="AR41" s="30">
        <v>1.6500000000000001</v>
      </c>
      <c r="AS41" s="30">
        <v>0.64750000000000008</v>
      </c>
      <c r="AT41" s="30">
        <v>10.447670859289872</v>
      </c>
      <c r="AU41" s="30">
        <v>6.331921732902952</v>
      </c>
      <c r="AV41" s="30">
        <v>5</v>
      </c>
      <c r="AW41" s="30">
        <v>0.014749999999999999</v>
      </c>
      <c r="AX41" s="30">
        <v>5.1203294216699939</v>
      </c>
      <c r="AY41" s="30">
        <v>0.4200000000000001</v>
      </c>
      <c r="AZ41" s="30">
        <v>0.8610000000000001</v>
      </c>
      <c r="BA41" s="30">
        <v>1.3320000000000001</v>
      </c>
      <c r="BB41" s="30">
        <v>36.99485420240137</v>
      </c>
      <c r="BC41" s="30">
        <v>62.263007432818746</v>
      </c>
      <c r="BD41" s="30">
        <v>63.00514579759863</v>
      </c>
      <c r="BE41" s="30">
        <v>-1.6789268053560769</v>
      </c>
      <c r="BF41" s="30">
        <v>-1.7279356156850403</v>
      </c>
      <c r="BG41" s="30">
        <v>0.37420884343024613</v>
      </c>
      <c r="BH41" s="30">
        <v>3.5</v>
      </c>
      <c r="BI41" s="30">
        <v>2.5369999999999999</v>
      </c>
      <c r="BJ41" s="30">
        <v>1.2930000000000001</v>
      </c>
      <c r="BK41" s="30">
        <v>1.244</v>
      </c>
      <c r="BL41" s="30">
        <v>16.924731417420634</v>
      </c>
      <c r="BM41" s="30">
        <v>16.954944424824696</v>
      </c>
      <c r="BN41" s="30">
        <v>6</v>
      </c>
      <c r="BO41" s="30">
        <v>0.054500000000000007</v>
      </c>
      <c r="BP41" s="30">
        <v>6.0697392728732096</v>
      </c>
      <c r="BQ41" s="30">
        <v>0.63300000000000001</v>
      </c>
      <c r="BR41" s="30">
        <v>0.54900000000000004</v>
      </c>
      <c r="BS41" s="30">
        <v>0.66000000000000003</v>
      </c>
      <c r="BT41" s="30">
        <v>41.73345578004119</v>
      </c>
      <c r="BU41" s="30">
        <v>33.052262481215557</v>
      </c>
      <c r="BV41" s="30">
        <v>58.266544219958803</v>
      </c>
      <c r="BW41" s="30">
        <v>-1.4318729682021829</v>
      </c>
      <c r="BX41" s="30">
        <v>-1.5746495233024123</v>
      </c>
      <c r="BY41" s="30">
        <v>0.18106940551150208</v>
      </c>
      <c r="BZ41" s="30">
        <v>1.5</v>
      </c>
    </row>
    <row r="42" s="162" customFormat="1">
      <c r="A42" s="52" t="s">
        <v>138</v>
      </c>
      <c r="B42" s="52">
        <v>2</v>
      </c>
      <c r="C42" s="172">
        <v>8.0199999999999996</v>
      </c>
      <c r="D42" s="165">
        <v>0.40045108565121101</v>
      </c>
      <c r="E42" s="49">
        <v>-0.3137919677607458</v>
      </c>
      <c r="F42" s="49">
        <v>0.41392217028895506</v>
      </c>
      <c r="G42" s="30">
        <v>1.1222500000000002</v>
      </c>
      <c r="H42" s="30">
        <v>0.73950000000000005</v>
      </c>
      <c r="I42" s="30">
        <v>0.38274999999999998</v>
      </c>
      <c r="J42" s="30">
        <v>8.6793580383534312</v>
      </c>
      <c r="K42" s="30">
        <v>12.905479728866279</v>
      </c>
      <c r="L42" s="30">
        <v>3</v>
      </c>
      <c r="M42" s="30">
        <v>0.046249999999999999</v>
      </c>
      <c r="N42" s="30">
        <v>3.1060807473265024</v>
      </c>
      <c r="O42" s="30">
        <v>0.46350000000000008</v>
      </c>
      <c r="P42" s="30">
        <v>0.1545</v>
      </c>
      <c r="Q42" s="30">
        <v>0.27600000000000002</v>
      </c>
      <c r="R42" s="30">
        <v>58.993823287943336</v>
      </c>
      <c r="S42" s="30">
        <v>23.942477926283072</v>
      </c>
      <c r="T42" s="30">
        <v>41.006176712056664</v>
      </c>
      <c r="U42" s="30">
        <v>-1.6355542310159024</v>
      </c>
      <c r="V42" s="30">
        <v>-1.6051685685005441</v>
      </c>
      <c r="W42" s="30">
        <v>0.13521675495339</v>
      </c>
      <c r="X42" s="30">
        <v>0</v>
      </c>
      <c r="Y42" s="97">
        <v>1.1005</v>
      </c>
      <c r="Z42" s="30">
        <v>0.78750000000000009</v>
      </c>
      <c r="AA42" s="30">
        <v>0.31300000000000006</v>
      </c>
      <c r="AB42" s="30">
        <v>16.939538915398209</v>
      </c>
      <c r="AC42" s="30">
        <v>22.33304579138423</v>
      </c>
      <c r="AD42" s="30">
        <v>4</v>
      </c>
      <c r="AE42" s="30">
        <v>0.051500000000000004</v>
      </c>
      <c r="AF42" s="30">
        <v>4.0792942522490616</v>
      </c>
      <c r="AG42" s="30">
        <v>0.47699999999999998</v>
      </c>
      <c r="AH42" s="30">
        <v>0.13350000000000001</v>
      </c>
      <c r="AI42" s="30">
        <v>0.3105</v>
      </c>
      <c r="AJ42" s="30">
        <v>60.459894351148229</v>
      </c>
      <c r="AK42" s="30">
        <v>16.104956513883241</v>
      </c>
      <c r="AL42" s="30">
        <v>39.540105648851778</v>
      </c>
      <c r="AM42" s="30">
        <v>-1.6274462771438114</v>
      </c>
      <c r="AN42" s="30">
        <v>-1.6717956600225878</v>
      </c>
      <c r="AO42" s="30">
        <v>0.13179076392418893</v>
      </c>
      <c r="AP42" s="30">
        <v>0.25</v>
      </c>
      <c r="AQ42" s="30">
        <v>1.6112500000000001</v>
      </c>
      <c r="AR42" s="30">
        <v>0.99600000000000011</v>
      </c>
      <c r="AS42" s="30">
        <v>0.64975000000000005</v>
      </c>
      <c r="AT42" s="30">
        <v>8.8889584505909234</v>
      </c>
      <c r="AU42" s="30">
        <v>8.9246570789065487</v>
      </c>
      <c r="AV42" s="30">
        <v>5</v>
      </c>
      <c r="AW42" s="30">
        <v>0.041750000000000002</v>
      </c>
      <c r="AX42" s="30">
        <v>5.1549212602948966</v>
      </c>
      <c r="AY42" s="30">
        <v>0.27450000000000002</v>
      </c>
      <c r="AZ42" s="30">
        <v>0.20250000000000004</v>
      </c>
      <c r="BA42" s="30">
        <v>0.70800000000000007</v>
      </c>
      <c r="BB42" s="30">
        <v>30.578737541650675</v>
      </c>
      <c r="BC42" s="30">
        <v>22.009838470099055</v>
      </c>
      <c r="BD42" s="30">
        <v>69.421262458349332</v>
      </c>
      <c r="BE42" s="30">
        <v>-1.5632456548274527</v>
      </c>
      <c r="BF42" s="30">
        <v>-1.4741531311533058</v>
      </c>
      <c r="BG42" s="30">
        <v>0.078351434783285073</v>
      </c>
      <c r="BH42" s="30">
        <v>1.25</v>
      </c>
      <c r="BI42" s="30">
        <v>2.2857500000000002</v>
      </c>
      <c r="BJ42" s="30">
        <v>1.7414999999999998</v>
      </c>
      <c r="BK42" s="30">
        <v>0.54425000000000001</v>
      </c>
      <c r="BL42" s="30">
        <v>16.947919744336843</v>
      </c>
      <c r="BM42" s="30">
        <v>13.221612979009038</v>
      </c>
      <c r="BN42" s="30">
        <v>6</v>
      </c>
      <c r="BO42" s="30">
        <v>0.066250000000000003</v>
      </c>
      <c r="BP42" s="30">
        <v>6.0762298410637836</v>
      </c>
      <c r="BQ42" s="30">
        <v>0.4290000000000001</v>
      </c>
      <c r="BR42" s="30">
        <v>0.27300000000000002</v>
      </c>
      <c r="BS42" s="30">
        <v>1.3125</v>
      </c>
      <c r="BT42" s="30">
        <v>29.21629641790712</v>
      </c>
      <c r="BU42" s="30">
        <v>14.188507984773519</v>
      </c>
      <c r="BV42" s="30">
        <v>70.783703582092869</v>
      </c>
      <c r="BW42" s="30">
        <v>-1.74891297138253</v>
      </c>
      <c r="BX42" s="30">
        <v>-1.6278043825281521</v>
      </c>
      <c r="BY42" s="30">
        <v>0.16182317192792028</v>
      </c>
      <c r="BZ42" s="30">
        <v>2.5</v>
      </c>
    </row>
    <row r="43" s="162" customFormat="1">
      <c r="A43" s="52" t="s">
        <v>138</v>
      </c>
      <c r="B43" s="52">
        <v>1</v>
      </c>
      <c r="C43" s="172">
        <v>8.0399999999999991</v>
      </c>
      <c r="D43" s="165">
        <v>0.10595808873678975</v>
      </c>
      <c r="E43" s="49">
        <v>0.50362117472663981</v>
      </c>
      <c r="F43" s="49">
        <v>0.31434897215978275</v>
      </c>
      <c r="G43" s="30">
        <v>0.79225000000000012</v>
      </c>
      <c r="H43" s="30">
        <v>0.495</v>
      </c>
      <c r="I43" s="30">
        <v>0.29725000000000001</v>
      </c>
      <c r="J43" s="30">
        <v>9.244693552140804</v>
      </c>
      <c r="K43" s="30">
        <v>18.982082127920091</v>
      </c>
      <c r="L43" s="30">
        <v>3</v>
      </c>
      <c r="M43" s="30">
        <v>0.070250000000000007</v>
      </c>
      <c r="N43" s="30">
        <v>3.201506833555638</v>
      </c>
      <c r="O43" s="30">
        <v>0.21750000000000003</v>
      </c>
      <c r="P43" s="30">
        <v>0.081000000000000003</v>
      </c>
      <c r="Q43" s="30">
        <v>0.27749999999999997</v>
      </c>
      <c r="R43" s="30">
        <v>44.533706188560046</v>
      </c>
      <c r="S43" s="30">
        <v>16.310775645600287</v>
      </c>
      <c r="T43" s="30">
        <v>55.466293811439947</v>
      </c>
      <c r="U43" s="30">
        <v>-1.4158970097217887</v>
      </c>
      <c r="V43" s="30">
        <v>-1.4417161919416692</v>
      </c>
      <c r="W43" s="30">
        <v>0.11804375420601845</v>
      </c>
      <c r="X43" s="30">
        <v>0</v>
      </c>
      <c r="Y43" s="97">
        <v>1.0415000000000001</v>
      </c>
      <c r="Z43" s="30">
        <v>0.77700000000000002</v>
      </c>
      <c r="AA43" s="30">
        <v>0.26450000000000001</v>
      </c>
      <c r="AB43" s="30">
        <v>17.178670099194282</v>
      </c>
      <c r="AC43" s="30">
        <v>22.556193910172134</v>
      </c>
      <c r="AD43" s="30">
        <v>4</v>
      </c>
      <c r="AE43" s="30">
        <v>0.028000000000000004</v>
      </c>
      <c r="AF43" s="30">
        <v>4.0811289800178203</v>
      </c>
      <c r="AG43" s="30">
        <v>0.40200000000000002</v>
      </c>
      <c r="AH43" s="30">
        <v>0.11700000000000002</v>
      </c>
      <c r="AI43" s="30">
        <v>0.375</v>
      </c>
      <c r="AJ43" s="30">
        <v>53.032498042403532</v>
      </c>
      <c r="AK43" s="30">
        <v>14.944963774199994</v>
      </c>
      <c r="AL43" s="30">
        <v>46.967501957596461</v>
      </c>
      <c r="AM43" s="30">
        <v>-1.5084608556368291</v>
      </c>
      <c r="AN43" s="30">
        <v>-1.6004263000559735</v>
      </c>
      <c r="AO43" s="30">
        <v>0.19537328280423089</v>
      </c>
      <c r="AP43" s="30">
        <v>0.5</v>
      </c>
      <c r="AQ43" s="30">
        <v>0.97475000000000001</v>
      </c>
      <c r="AR43" s="30">
        <v>0.77000000000000002</v>
      </c>
      <c r="AS43" s="30">
        <v>0.24875000000000008</v>
      </c>
      <c r="AT43" s="30">
        <v>8.9028613183955532</v>
      </c>
      <c r="AU43" s="30">
        <v>11.666615640629303</v>
      </c>
      <c r="AV43" s="30">
        <v>5</v>
      </c>
      <c r="AW43" s="30">
        <v>0.061750000000000006</v>
      </c>
      <c r="AX43" s="30">
        <v>5.1749284538425249</v>
      </c>
      <c r="AY43" s="30">
        <v>0.29400000000000004</v>
      </c>
      <c r="AZ43" s="30">
        <v>0.14100000000000001</v>
      </c>
      <c r="BA43" s="30">
        <v>0.46600000000000003</v>
      </c>
      <c r="BB43" s="30">
        <v>40.845127095127097</v>
      </c>
      <c r="BC43" s="30">
        <v>19.384122821622817</v>
      </c>
      <c r="BD43" s="30">
        <v>59.154872904872903</v>
      </c>
      <c r="BE43" s="30">
        <v>-1.4396699251682068</v>
      </c>
      <c r="BF43" s="30">
        <v>-1.4932258007336174</v>
      </c>
      <c r="BG43" s="30">
        <v>0.11819242532774388</v>
      </c>
      <c r="BH43" s="30">
        <v>0.25</v>
      </c>
      <c r="BI43" s="30">
        <v>1.1715000000000002</v>
      </c>
      <c r="BJ43" s="30">
        <v>0.80249999999999999</v>
      </c>
      <c r="BK43" s="30">
        <v>0.36899999999999999</v>
      </c>
      <c r="BL43" s="30">
        <v>17.134754874653815</v>
      </c>
      <c r="BM43" s="30">
        <v>21.442909525716008</v>
      </c>
      <c r="BN43" s="30">
        <v>6</v>
      </c>
      <c r="BO43" s="30">
        <v>0.051000000000000004</v>
      </c>
      <c r="BP43" s="30">
        <v>6.092367356737534</v>
      </c>
      <c r="BQ43" s="30">
        <v>0.26100000000000001</v>
      </c>
      <c r="BR43" s="30">
        <v>0.097500000000000003</v>
      </c>
      <c r="BS43" s="30">
        <v>0.54149999999999998</v>
      </c>
      <c r="BT43" s="30">
        <v>32.625716746120823</v>
      </c>
      <c r="BU43" s="30">
        <v>12.154059074335741</v>
      </c>
      <c r="BV43" s="30">
        <v>67.374283253879184</v>
      </c>
      <c r="BW43" s="30">
        <v>-1.4200851896711517</v>
      </c>
      <c r="BX43" s="30">
        <v>-1.4803195443901944</v>
      </c>
      <c r="BY43" s="30">
        <v>0.14911066501949297</v>
      </c>
      <c r="BZ43" s="30">
        <v>0.5</v>
      </c>
    </row>
    <row r="44">
      <c r="A44" s="43" t="s">
        <v>139</v>
      </c>
      <c r="B44" s="43">
        <v>1</v>
      </c>
      <c r="C44" s="149">
        <v>8.0500000000000007</v>
      </c>
      <c r="D44" s="120">
        <v>0.11079065793856334</v>
      </c>
      <c r="E44" s="30">
        <v>0.91958094252016143</v>
      </c>
      <c r="F44" s="30">
        <v>0.083320479419963456</v>
      </c>
      <c r="G44" s="30">
        <v>1.23275</v>
      </c>
      <c r="H44" s="30">
        <v>0.88800000000000012</v>
      </c>
      <c r="I44" s="30">
        <v>0.34475</v>
      </c>
      <c r="J44" s="30">
        <v>8.354203875886526</v>
      </c>
      <c r="K44" s="30">
        <v>11.740688298108452</v>
      </c>
      <c r="L44" s="30">
        <v>3</v>
      </c>
      <c r="M44" s="30">
        <v>0.060250000000000005</v>
      </c>
      <c r="N44" s="30">
        <v>3.0477179559090803</v>
      </c>
      <c r="O44" s="30">
        <v>0.48900000000000005</v>
      </c>
      <c r="P44" s="30">
        <v>0.36299999999999999</v>
      </c>
      <c r="Q44" s="30">
        <v>0.39900000000000008</v>
      </c>
      <c r="R44" s="30">
        <v>55.41930475282804</v>
      </c>
      <c r="S44" s="30">
        <v>34.442885434606119</v>
      </c>
      <c r="T44" s="30">
        <v>44.58069524717196</v>
      </c>
      <c r="U44" s="30">
        <v>-1.6961878949190592</v>
      </c>
      <c r="V44" s="30">
        <v>-1.6308322872919283</v>
      </c>
      <c r="W44" s="30">
        <v>0.12139939014541043</v>
      </c>
      <c r="X44" s="30">
        <v>0.5</v>
      </c>
      <c r="Y44" s="97">
        <v>1.2982500000000001</v>
      </c>
      <c r="Z44" s="30">
        <v>0.873</v>
      </c>
      <c r="AA44" s="30">
        <v>0.42525000000000002</v>
      </c>
      <c r="AB44" s="30">
        <v>16.40636660356607</v>
      </c>
      <c r="AC44" s="30">
        <v>19.081837914432235</v>
      </c>
      <c r="AD44" s="30">
        <v>4</v>
      </c>
      <c r="AE44" s="30">
        <v>0.056250000000000001</v>
      </c>
      <c r="AF44" s="30">
        <v>4.0290444874925804</v>
      </c>
      <c r="AG44" s="30">
        <v>0.54000000000000004</v>
      </c>
      <c r="AH44" s="30">
        <v>0.16350000000000001</v>
      </c>
      <c r="AI44" s="30">
        <v>0.33300000000000002</v>
      </c>
      <c r="AJ44" s="30">
        <v>61.212169289195671</v>
      </c>
      <c r="AK44" s="30">
        <v>18.283733653396283</v>
      </c>
      <c r="AL44" s="30">
        <v>38.787830710804322</v>
      </c>
      <c r="AM44" s="30">
        <v>-1.7110473983891012</v>
      </c>
      <c r="AN44" s="30">
        <v>-1.7315047146679099</v>
      </c>
      <c r="AO44" s="30">
        <v>0.19248828045588912</v>
      </c>
      <c r="AP44" s="30">
        <v>0.25</v>
      </c>
      <c r="AQ44" s="30">
        <v>1.6777500000000001</v>
      </c>
      <c r="AR44" s="30">
        <v>1.9560000000000002</v>
      </c>
      <c r="AS44" s="30">
        <v>0.13724999999999998</v>
      </c>
      <c r="AT44" s="30">
        <v>9.2928362406669915</v>
      </c>
      <c r="AU44" s="30">
        <v>4.8078575502982019</v>
      </c>
      <c r="AV44" s="30">
        <v>5</v>
      </c>
      <c r="AW44" s="30">
        <v>0.068250000000000005</v>
      </c>
      <c r="AX44" s="30">
        <v>5.1560581129673571</v>
      </c>
      <c r="AY44" s="30">
        <v>0.44400000000000006</v>
      </c>
      <c r="AZ44" s="30">
        <v>0.32250000000000001</v>
      </c>
      <c r="BA44" s="30">
        <v>1.5450000000000002</v>
      </c>
      <c r="BB44" s="30">
        <v>31.597203158983888</v>
      </c>
      <c r="BC44" s="30">
        <v>21.577743258652362</v>
      </c>
      <c r="BD44" s="30">
        <v>68.402796841016112</v>
      </c>
      <c r="BE44" s="30">
        <v>-1.7818470360453484</v>
      </c>
      <c r="BF44" s="30">
        <v>-1.7190407256984161</v>
      </c>
      <c r="BG44" s="30">
        <v>0.15834552575087379</v>
      </c>
      <c r="BH44" s="30">
        <v>3.5</v>
      </c>
      <c r="BI44" s="30">
        <v>1.4760000000000002</v>
      </c>
      <c r="BJ44" s="30">
        <v>1.1520000000000001</v>
      </c>
      <c r="BK44" s="30">
        <v>0.32400000000000001</v>
      </c>
      <c r="BL44" s="30">
        <v>17.303989910502604</v>
      </c>
      <c r="BM44" s="30">
        <v>15.146773134796542</v>
      </c>
      <c r="BN44" s="30">
        <v>6</v>
      </c>
      <c r="BO44" s="30">
        <v>0.072750000000000009</v>
      </c>
      <c r="BP44" s="30">
        <v>6.0909939360393581</v>
      </c>
      <c r="BQ44" s="30">
        <v>0.48399999999999999</v>
      </c>
      <c r="BR44" s="30">
        <v>0.308</v>
      </c>
      <c r="BS44" s="30">
        <v>0.66800000000000015</v>
      </c>
      <c r="BT44" s="30">
        <v>40.829541086676002</v>
      </c>
      <c r="BU44" s="30">
        <v>25.441856793784144</v>
      </c>
      <c r="BV44" s="30">
        <v>59.170458913324005</v>
      </c>
      <c r="BW44" s="30">
        <v>-1.5078724342709642</v>
      </c>
      <c r="BX44" s="30">
        <v>-1.5969373622830834</v>
      </c>
      <c r="BY44" s="30">
        <v>0.37199088221513771</v>
      </c>
      <c r="BZ44" s="30">
        <v>1</v>
      </c>
    </row>
    <row r="45" s="162" customFormat="1">
      <c r="A45" s="52" t="s">
        <v>138</v>
      </c>
      <c r="B45" s="52">
        <v>1</v>
      </c>
      <c r="C45" s="172">
        <v>8.0600000000000005</v>
      </c>
      <c r="D45" s="165">
        <v>-0.035215490887100617</v>
      </c>
      <c r="E45" s="49">
        <v>1.4679901153277468</v>
      </c>
      <c r="F45" s="49">
        <v>0.015699193032976955</v>
      </c>
      <c r="G45" s="30">
        <v>0.98575000000000013</v>
      </c>
      <c r="H45" s="30">
        <v>0.69300000000000006</v>
      </c>
      <c r="I45" s="30">
        <v>0.29275000000000007</v>
      </c>
      <c r="J45" s="30">
        <v>8.5316252916620243</v>
      </c>
      <c r="K45" s="30">
        <v>12.396426290054187</v>
      </c>
      <c r="L45" s="30">
        <v>3</v>
      </c>
      <c r="M45" s="30">
        <v>0.050749999999999997</v>
      </c>
      <c r="N45" s="30">
        <v>3.0869456365173571</v>
      </c>
      <c r="O45" s="30">
        <v>0.29100000000000004</v>
      </c>
      <c r="P45" s="30">
        <v>0.16800000000000001</v>
      </c>
      <c r="Q45" s="30">
        <v>0.40199999999999997</v>
      </c>
      <c r="R45" s="30">
        <v>42.251798855802669</v>
      </c>
      <c r="S45" s="30">
        <v>24.326857868722378</v>
      </c>
      <c r="T45" s="30">
        <v>57.748201144197331</v>
      </c>
      <c r="U45" s="30">
        <v>-1.4464245029443004</v>
      </c>
      <c r="V45" s="30">
        <v>-1.4922481747497744</v>
      </c>
      <c r="W45" s="30">
        <v>0.080745502180308446</v>
      </c>
      <c r="X45" s="30">
        <v>0.25</v>
      </c>
      <c r="Y45" s="97">
        <v>1.20675</v>
      </c>
      <c r="Z45" s="30">
        <v>0.85950000000000004</v>
      </c>
      <c r="AA45" s="30">
        <v>0.34725000000000006</v>
      </c>
      <c r="AB45" s="30">
        <v>16.52449143531312</v>
      </c>
      <c r="AC45" s="30">
        <v>19.413388386798992</v>
      </c>
      <c r="AD45" s="30">
        <v>4</v>
      </c>
      <c r="AE45" s="30">
        <v>0.057750000000000003</v>
      </c>
      <c r="AF45" s="30">
        <v>4.0393768341419225</v>
      </c>
      <c r="AG45" s="30">
        <v>0.35550000000000004</v>
      </c>
      <c r="AH45" s="30">
        <v>0.087000000000000008</v>
      </c>
      <c r="AI45" s="30">
        <v>0.504</v>
      </c>
      <c r="AJ45" s="30">
        <v>41.753684028511593</v>
      </c>
      <c r="AK45" s="30">
        <v>10.280510730855598</v>
      </c>
      <c r="AL45" s="30">
        <v>58.246315971488414</v>
      </c>
      <c r="AM45" s="30">
        <v>-1.5165917580041275</v>
      </c>
      <c r="AN45" s="30">
        <v>-1.5945604460550566</v>
      </c>
      <c r="AO45" s="30">
        <v>0.16998486146841474</v>
      </c>
      <c r="AP45" s="30">
        <v>0.25</v>
      </c>
      <c r="AQ45" s="30">
        <v>1.5482500000000001</v>
      </c>
      <c r="AR45" s="30">
        <v>0.84799999999999998</v>
      </c>
      <c r="AS45" s="30">
        <v>0.34525</v>
      </c>
      <c r="AT45" s="30">
        <v>8.6482275265074477</v>
      </c>
      <c r="AU45" s="30">
        <v>10.224076977281031</v>
      </c>
      <c r="AV45" s="30">
        <v>5</v>
      </c>
      <c r="AW45" s="30">
        <v>0.080750000000000002</v>
      </c>
      <c r="AX45" s="30">
        <v>3.9995022629257924</v>
      </c>
      <c r="AY45" s="30">
        <v>0.23999999999999999</v>
      </c>
      <c r="AZ45" s="30">
        <v>0.34050000000000008</v>
      </c>
      <c r="BA45" s="30">
        <v>0.63400000000000001</v>
      </c>
      <c r="BB45" s="30">
        <v>22.549940131280415</v>
      </c>
      <c r="BC45" s="30">
        <v>19.917545253662134</v>
      </c>
      <c r="BD45" s="30">
        <v>77.450059868719578</v>
      </c>
      <c r="BE45" s="30">
        <v>-1.6687413157169111</v>
      </c>
      <c r="BF45" s="30">
        <v>-1.4685266226006091</v>
      </c>
      <c r="BG45" s="30">
        <v>0.89741447072693836</v>
      </c>
      <c r="BH45" s="30">
        <v>2.75</v>
      </c>
      <c r="BI45" s="30">
        <v>1.5260000000000002</v>
      </c>
      <c r="BJ45" s="30">
        <v>1.1234999999999999</v>
      </c>
      <c r="BK45" s="30">
        <v>0.40250000000000002</v>
      </c>
      <c r="BL45" s="30">
        <v>16.731303199566682</v>
      </c>
      <c r="BM45" s="30">
        <v>15.04248934874675</v>
      </c>
      <c r="BN45" s="30">
        <v>6</v>
      </c>
      <c r="BO45" s="30">
        <v>0.0385</v>
      </c>
      <c r="BP45" s="30">
        <v>6.0600910683915874</v>
      </c>
      <c r="BQ45" s="30">
        <v>0.36899999999999999</v>
      </c>
      <c r="BR45" s="30">
        <v>0.099000000000000005</v>
      </c>
      <c r="BS45" s="30">
        <v>0.75450000000000006</v>
      </c>
      <c r="BT45" s="30">
        <v>33.58115517575709</v>
      </c>
      <c r="BU45" s="30">
        <v>9.0452823222727545</v>
      </c>
      <c r="BV45" s="30">
        <v>66.41884482424291</v>
      </c>
      <c r="BW45" s="30">
        <v>-1.5089206136532369</v>
      </c>
      <c r="BX45" s="30">
        <v>-1.6074197042892546</v>
      </c>
      <c r="BY45" s="30">
        <v>0.12153085349674775</v>
      </c>
      <c r="BZ45" s="30">
        <v>1.5</v>
      </c>
    </row>
    <row r="46">
      <c r="A46" s="42" t="s">
        <v>139</v>
      </c>
      <c r="B46" s="43">
        <v>2</v>
      </c>
      <c r="C46" s="98">
        <v>8.0800000000000001</v>
      </c>
      <c r="D46" s="120">
        <v>0.27295867352928255</v>
      </c>
      <c r="E46" s="30">
        <v>0.0089809844065871867</v>
      </c>
      <c r="F46" s="30">
        <v>0.60282134411595201</v>
      </c>
      <c r="G46" s="30">
        <v>0.84250000000000003</v>
      </c>
      <c r="H46" s="30">
        <v>0.7589999999999999</v>
      </c>
      <c r="I46" s="30">
        <v>0.083499999999999991</v>
      </c>
      <c r="J46" s="30">
        <v>8.5734009614805089</v>
      </c>
      <c r="K46" s="30">
        <v>11.419294243441348</v>
      </c>
      <c r="L46" s="30">
        <v>3</v>
      </c>
      <c r="M46" s="30">
        <v>0.044000000000000004</v>
      </c>
      <c r="N46" s="30">
        <v>3.0903966615535525</v>
      </c>
      <c r="O46" s="30">
        <v>0.42000000000000004</v>
      </c>
      <c r="P46" s="30">
        <v>0.34350000000000003</v>
      </c>
      <c r="Q46" s="30">
        <v>0.33899999999999997</v>
      </c>
      <c r="R46" s="30">
        <v>54.514497417095711</v>
      </c>
      <c r="S46" s="30">
        <v>44.158544530541249</v>
      </c>
      <c r="T46" s="30">
        <v>45.485502582904296</v>
      </c>
      <c r="U46" s="30">
        <v>-1.6235597827721502</v>
      </c>
      <c r="V46" s="30">
        <v>-1.6822744722438059</v>
      </c>
      <c r="W46" s="30">
        <v>0.13080695329986203</v>
      </c>
      <c r="X46" s="30">
        <v>0</v>
      </c>
      <c r="Y46" s="97">
        <v>1.2690000000000001</v>
      </c>
      <c r="Z46" s="30">
        <v>1.1070000000000002</v>
      </c>
      <c r="AA46" s="30">
        <v>0.16200000000000003</v>
      </c>
      <c r="AB46" s="30">
        <v>17.162125590051108</v>
      </c>
      <c r="AC46" s="30">
        <v>15.579136189734635</v>
      </c>
      <c r="AD46" s="30">
        <v>4</v>
      </c>
      <c r="AE46" s="30">
        <v>0.052500000000000005</v>
      </c>
      <c r="AF46" s="30">
        <v>4.0948608176269614</v>
      </c>
      <c r="AG46" s="30">
        <v>0.53550000000000009</v>
      </c>
      <c r="AH46" s="30">
        <v>0.22800000000000004</v>
      </c>
      <c r="AI46" s="30">
        <v>0.57150000000000012</v>
      </c>
      <c r="AJ46" s="30">
        <v>48.159925466101761</v>
      </c>
      <c r="AK46" s="30">
        <v>20.540575950792423</v>
      </c>
      <c r="AL46" s="30">
        <v>51.840074533898232</v>
      </c>
      <c r="AM46" s="30">
        <v>-1.6230687575166711</v>
      </c>
      <c r="AN46" s="30">
        <v>-1.6461316305349694</v>
      </c>
      <c r="AO46" s="30">
        <v>0.22427927292995084</v>
      </c>
      <c r="AP46" s="30">
        <v>0.66666666666666663</v>
      </c>
      <c r="AQ46" s="30">
        <v>1.1415</v>
      </c>
      <c r="AR46" s="30">
        <v>1.1159999999999999</v>
      </c>
      <c r="AS46" s="30">
        <v>0.11850000000000001</v>
      </c>
      <c r="AT46" s="30">
        <v>9.0951407272742397</v>
      </c>
      <c r="AU46" s="30">
        <v>8.3137541429092128</v>
      </c>
      <c r="AV46" s="30">
        <v>5</v>
      </c>
      <c r="AW46" s="30">
        <v>0.048000000000000001</v>
      </c>
      <c r="AX46" s="30">
        <v>5.1635472087611376</v>
      </c>
      <c r="AY46" s="30">
        <v>0.35400000000000004</v>
      </c>
      <c r="AZ46" s="30">
        <v>0.16800000000000001</v>
      </c>
      <c r="BA46" s="30">
        <v>0.72000000000000008</v>
      </c>
      <c r="BB46" s="30">
        <v>33.111506203222007</v>
      </c>
      <c r="BC46" s="30">
        <v>16.606401771172926</v>
      </c>
      <c r="BD46" s="30">
        <v>66.888493796777993</v>
      </c>
      <c r="BE46" s="30">
        <v>-1.6523671533226025</v>
      </c>
      <c r="BF46" s="30">
        <v>-1.4951800083070594</v>
      </c>
      <c r="BG46" s="30">
        <v>0.1566917159172739</v>
      </c>
      <c r="BH46" s="30">
        <v>1</v>
      </c>
      <c r="BI46" s="30">
        <v>1.8122500000000001</v>
      </c>
      <c r="BJ46" s="30">
        <v>1.6280000000000001</v>
      </c>
      <c r="BK46" s="30">
        <v>0.25225000000000003</v>
      </c>
      <c r="BL46" s="30">
        <v>16.999482128519418</v>
      </c>
      <c r="BM46" s="30">
        <v>10.559949610203445</v>
      </c>
      <c r="BN46" s="30">
        <v>6</v>
      </c>
      <c r="BO46" s="30">
        <v>0.041750000000000002</v>
      </c>
      <c r="BP46" s="30">
        <v>6.0764242939617716</v>
      </c>
      <c r="BQ46" s="30">
        <v>0.6120000000000001</v>
      </c>
      <c r="BR46" s="30">
        <v>0.34350000000000003</v>
      </c>
      <c r="BS46" s="30">
        <v>0.9900000000000001</v>
      </c>
      <c r="BT46" s="30">
        <v>39.45816047389097</v>
      </c>
      <c r="BU46" s="30">
        <v>22.375236783566528</v>
      </c>
      <c r="BV46" s="30">
        <v>60.54183952610903</v>
      </c>
      <c r="BW46" s="30">
        <v>-1.7681083771187414</v>
      </c>
      <c r="BX46" s="30">
        <v>-1.728603958457414</v>
      </c>
      <c r="BY46" s="30">
        <v>0.21073482083917239</v>
      </c>
      <c r="BZ46" s="30">
        <v>2</v>
      </c>
    </row>
    <row r="47">
      <c r="A47" s="42" t="s">
        <v>139</v>
      </c>
      <c r="B47" s="43">
        <v>1</v>
      </c>
      <c r="C47" s="98">
        <v>8.0800000000000001</v>
      </c>
      <c r="D47" s="120">
        <v>-0.082588944399928005</v>
      </c>
      <c r="E47" s="30">
        <v>2.5620253041380949</v>
      </c>
      <c r="F47" s="30">
        <v>0.0031747213665725971</v>
      </c>
      <c r="G47" s="30">
        <v>1.6065</v>
      </c>
      <c r="H47" s="30">
        <v>0.79800000000000004</v>
      </c>
      <c r="I47" s="30">
        <v>0.80850000000000011</v>
      </c>
      <c r="J47" s="30">
        <v>8.933144726959144</v>
      </c>
      <c r="K47" s="30">
        <v>12.201603137714521</v>
      </c>
      <c r="L47" s="30">
        <v>3</v>
      </c>
      <c r="M47" s="30">
        <v>0.037499999999999999</v>
      </c>
      <c r="N47" s="30">
        <v>3.1136503603266275</v>
      </c>
      <c r="O47" s="30">
        <v>0.38250000000000001</v>
      </c>
      <c r="P47" s="30">
        <v>0.22200000000000003</v>
      </c>
      <c r="Q47" s="30">
        <v>0.41550000000000004</v>
      </c>
      <c r="R47" s="30">
        <v>45.128796563280659</v>
      </c>
      <c r="S47" s="30">
        <v>26.184726387312935</v>
      </c>
      <c r="T47" s="30">
        <v>54.871203436719341</v>
      </c>
      <c r="U47" s="30">
        <v>-1.4973305260153986</v>
      </c>
      <c r="V47" s="30">
        <v>-1.5189059441769384</v>
      </c>
      <c r="W47" s="30">
        <v>0.12789774986637378</v>
      </c>
      <c r="X47" s="30">
        <v>0.75</v>
      </c>
      <c r="Y47" s="97">
        <v>4.7500000000000009</v>
      </c>
      <c r="Z47" s="30">
        <v>0.95999999999999996</v>
      </c>
      <c r="AA47" s="30">
        <v>3.7900000000000005</v>
      </c>
      <c r="AB47" s="30">
        <v>17.11404141116255</v>
      </c>
      <c r="AC47" s="30">
        <v>19.819116476394267</v>
      </c>
      <c r="AD47" s="30">
        <v>4</v>
      </c>
      <c r="AE47" s="30">
        <v>0.056250000000000001</v>
      </c>
      <c r="AF47" s="30">
        <v>4.0836361307820601</v>
      </c>
      <c r="AG47" s="30">
        <v>0.42900000000000005</v>
      </c>
      <c r="AH47" s="30">
        <v>0.255</v>
      </c>
      <c r="AI47" s="30">
        <v>0.53099999999999992</v>
      </c>
      <c r="AJ47" s="30">
        <v>44.49782809003554</v>
      </c>
      <c r="AK47" s="30">
        <v>22.976174805844419</v>
      </c>
      <c r="AL47" s="30">
        <v>55.502171909964453</v>
      </c>
      <c r="AM47" s="30">
        <v>-1.4915653927968293</v>
      </c>
      <c r="AN47" s="30">
        <v>-1.5306956979829638</v>
      </c>
      <c r="AO47" s="30">
        <v>0.30242099243381104</v>
      </c>
      <c r="AP47" s="30">
        <v>1</v>
      </c>
      <c r="AQ47" s="30">
        <v>1.2435</v>
      </c>
      <c r="AR47" s="30">
        <v>0.6795000000000001</v>
      </c>
      <c r="AS47" s="30">
        <v>0.56400000000000006</v>
      </c>
      <c r="AT47" s="30">
        <v>8.6290512657278491</v>
      </c>
      <c r="AU47" s="30">
        <v>13.057102439069038</v>
      </c>
      <c r="AV47" s="30">
        <v>5</v>
      </c>
      <c r="AW47" s="30">
        <v>0.037499999999999999</v>
      </c>
      <c r="AX47" s="30">
        <v>5.0880449532563228</v>
      </c>
      <c r="AY47" s="30">
        <v>0.25650000000000006</v>
      </c>
      <c r="AZ47" s="30">
        <v>0.1275</v>
      </c>
      <c r="BA47" s="30">
        <v>0.42300000000000004</v>
      </c>
      <c r="BB47" s="30">
        <v>38.653835916936245</v>
      </c>
      <c r="BC47" s="30">
        <v>18.66210727575946</v>
      </c>
      <c r="BD47" s="30">
        <v>61.346164083063755</v>
      </c>
      <c r="BE47" s="30">
        <v>-1.4485462152564255</v>
      </c>
      <c r="BF47" s="30">
        <v>-1.4560529881224313</v>
      </c>
      <c r="BG47" s="30">
        <v>0.1512358467050105</v>
      </c>
      <c r="BH47" s="30">
        <v>0.5</v>
      </c>
      <c r="BI47" s="30">
        <v>2.1420000000000003</v>
      </c>
      <c r="BJ47" s="30">
        <v>1.0905</v>
      </c>
      <c r="BK47" s="30">
        <v>1.0515000000000001</v>
      </c>
      <c r="BL47" s="30">
        <v>17.51971318719653</v>
      </c>
      <c r="BM47" s="30">
        <v>17.827913955062353</v>
      </c>
      <c r="BN47" s="30">
        <v>6</v>
      </c>
      <c r="BO47" s="30">
        <v>0.066000000000000003</v>
      </c>
      <c r="BP47" s="30">
        <v>6.0730140322038864</v>
      </c>
      <c r="BQ47" s="30">
        <v>0.36599999999999999</v>
      </c>
      <c r="BR47" s="30">
        <v>0.17550000000000002</v>
      </c>
      <c r="BS47" s="30">
        <v>0.72449999999999992</v>
      </c>
      <c r="BT47" s="30">
        <v>34.740041694944857</v>
      </c>
      <c r="BU47" s="30">
        <v>15.994088299421424</v>
      </c>
      <c r="BV47" s="30">
        <v>65.259958305055136</v>
      </c>
      <c r="BW47" s="30">
        <v>-1.4967921979349113</v>
      </c>
      <c r="BX47" s="30">
        <v>-1.5428314863066404</v>
      </c>
      <c r="BY47" s="30">
        <v>0.19886810318531428</v>
      </c>
      <c r="BZ47" s="30">
        <v>2.5</v>
      </c>
    </row>
    <row r="48" s="162" customFormat="1">
      <c r="A48" s="52" t="s">
        <v>138</v>
      </c>
      <c r="B48" s="52">
        <v>1</v>
      </c>
      <c r="C48" s="172">
        <v>8.0800000000000001</v>
      </c>
      <c r="D48" s="165">
        <v>0.073178349167390688</v>
      </c>
      <c r="E48" s="49">
        <v>0.93763464345671765</v>
      </c>
      <c r="F48" s="49">
        <v>0.12133076123735831</v>
      </c>
      <c r="G48" s="30">
        <v>1.2067500000000002</v>
      </c>
      <c r="H48" s="30">
        <v>0.79049999999999998</v>
      </c>
      <c r="I48" s="30">
        <v>0.41624999999999995</v>
      </c>
      <c r="J48" s="30">
        <v>8.6840827378194358</v>
      </c>
      <c r="K48" s="30">
        <v>11.670399705402527</v>
      </c>
      <c r="L48" s="30">
        <v>3</v>
      </c>
      <c r="M48" s="30">
        <v>0.051750000000000004</v>
      </c>
      <c r="N48" s="30">
        <v>3.1102431706618074</v>
      </c>
      <c r="O48" s="30">
        <v>0.42000000000000004</v>
      </c>
      <c r="P48" s="30">
        <v>0.26850000000000002</v>
      </c>
      <c r="Q48" s="30">
        <v>0.37050000000000005</v>
      </c>
      <c r="R48" s="30">
        <v>54.089571900407563</v>
      </c>
      <c r="S48" s="30">
        <v>31.349161188841332</v>
      </c>
      <c r="T48" s="30">
        <v>45.91042809959243</v>
      </c>
      <c r="U48" s="30">
        <v>-1.5699625662559731</v>
      </c>
      <c r="V48" s="30">
        <v>-1.6800311270894412</v>
      </c>
      <c r="W48" s="30">
        <v>0.059884042345252686</v>
      </c>
      <c r="X48" s="30">
        <v>0.25</v>
      </c>
      <c r="Y48" s="97">
        <v>1.18475</v>
      </c>
      <c r="Z48" s="30">
        <v>0.75149999999999995</v>
      </c>
      <c r="AA48" s="30">
        <v>0.43325000000000002</v>
      </c>
      <c r="AB48" s="30">
        <v>16.733446945747442</v>
      </c>
      <c r="AC48" s="30">
        <v>22.281462566708729</v>
      </c>
      <c r="AD48" s="30">
        <v>4</v>
      </c>
      <c r="AE48" s="30">
        <v>0.058750000000000004</v>
      </c>
      <c r="AF48" s="30">
        <v>4.0590006049353669</v>
      </c>
      <c r="AG48" s="30">
        <v>0.30450000000000005</v>
      </c>
      <c r="AH48" s="30">
        <v>0.07350000000000001</v>
      </c>
      <c r="AI48" s="30">
        <v>0.44700000000000006</v>
      </c>
      <c r="AJ48" s="30">
        <v>40.434389714933275</v>
      </c>
      <c r="AK48" s="30">
        <v>9.7982120643728461</v>
      </c>
      <c r="AL48" s="30">
        <v>59.565610285066739</v>
      </c>
      <c r="AM48" s="30">
        <v>-1.5266808600800852</v>
      </c>
      <c r="AN48" s="30">
        <v>-1.5741180666330077</v>
      </c>
      <c r="AO48" s="30">
        <v>0.19778272359241886</v>
      </c>
      <c r="AP48" s="30">
        <v>0.5</v>
      </c>
      <c r="AQ48" s="30">
        <v>1.2730000000000001</v>
      </c>
      <c r="AR48" s="30">
        <v>0.88200000000000001</v>
      </c>
      <c r="AS48" s="30">
        <v>0.39100000000000007</v>
      </c>
      <c r="AT48" s="30">
        <v>8.8168196788071178</v>
      </c>
      <c r="AU48" s="30">
        <v>10.022726309670773</v>
      </c>
      <c r="AV48" s="30">
        <v>5</v>
      </c>
      <c r="AW48" s="30">
        <v>0.051500000000000004</v>
      </c>
      <c r="AX48" s="30">
        <v>5.1270293687252977</v>
      </c>
      <c r="AY48" s="30">
        <v>0.35850000000000004</v>
      </c>
      <c r="AZ48" s="30">
        <v>0.20550000000000002</v>
      </c>
      <c r="BA48" s="30">
        <v>0.52349999999999997</v>
      </c>
      <c r="BB48" s="30">
        <v>40.991596106527716</v>
      </c>
      <c r="BC48" s="30">
        <v>23.778156209292227</v>
      </c>
      <c r="BD48" s="30">
        <v>59.008403893472277</v>
      </c>
      <c r="BE48" s="30">
        <v>-1.5162773411034434</v>
      </c>
      <c r="BF48" s="30">
        <v>-1.5769845892919361</v>
      </c>
      <c r="BG48" s="30">
        <v>0.12535277196945788</v>
      </c>
      <c r="BH48" s="30">
        <v>1</v>
      </c>
      <c r="BI48" s="30">
        <v>1.4413333333333336</v>
      </c>
      <c r="BJ48" s="30">
        <v>1.032</v>
      </c>
      <c r="BK48" s="30">
        <v>0.40933333333333338</v>
      </c>
      <c r="BL48" s="30">
        <v>16.733603810903297</v>
      </c>
      <c r="BM48" s="30">
        <v>16.345435637965299</v>
      </c>
      <c r="BN48" s="30">
        <v>6</v>
      </c>
      <c r="BO48" s="30">
        <v>0.036750000000000005</v>
      </c>
      <c r="BP48" s="30">
        <v>6.0594092370625416</v>
      </c>
      <c r="BQ48" s="30">
        <v>0.32200000000000006</v>
      </c>
      <c r="BR48" s="30">
        <v>0.088000000000000009</v>
      </c>
      <c r="BS48" s="30">
        <v>0.70999999999999996</v>
      </c>
      <c r="BT48" s="30">
        <v>31.188248398774714</v>
      </c>
      <c r="BU48" s="30">
        <v>8.4734521488907451</v>
      </c>
      <c r="BV48" s="30">
        <v>68.811751601225282</v>
      </c>
      <c r="BW48" s="30">
        <v>-1.451866740142054</v>
      </c>
      <c r="BX48" s="30">
        <v>-1.5817122493880038</v>
      </c>
      <c r="BY48" s="30">
        <v>0.11779463248265938</v>
      </c>
      <c r="BZ48" s="30">
        <v>1</v>
      </c>
    </row>
    <row r="49" s="162" customFormat="1">
      <c r="A49" s="52" t="s">
        <v>138</v>
      </c>
      <c r="B49" s="51">
        <v>2</v>
      </c>
      <c r="C49" s="173">
        <v>8.0899999999999999</v>
      </c>
      <c r="D49" s="165">
        <v>0.058079919797948285</v>
      </c>
      <c r="E49" s="49">
        <v>1.0990947083167288</v>
      </c>
      <c r="F49" s="49">
        <v>0.13376379444655018</v>
      </c>
      <c r="G49" s="30">
        <v>1.2315</v>
      </c>
      <c r="H49" s="30">
        <v>0.89100000000000001</v>
      </c>
      <c r="I49" s="30">
        <v>0.34050000000000002</v>
      </c>
      <c r="J49" s="30">
        <v>8.9170333938379986</v>
      </c>
      <c r="K49" s="30">
        <v>10.097193081849619</v>
      </c>
      <c r="L49" s="30">
        <v>3</v>
      </c>
      <c r="M49" s="30">
        <v>0.042000000000000003</v>
      </c>
      <c r="N49" s="30">
        <v>3.14297770478725</v>
      </c>
      <c r="O49" s="30">
        <v>0.35700000000000004</v>
      </c>
      <c r="P49" s="30">
        <v>0.20700000000000002</v>
      </c>
      <c r="Q49" s="30">
        <v>0.53400000000000003</v>
      </c>
      <c r="R49" s="30">
        <v>40.392762320755644</v>
      </c>
      <c r="S49" s="30">
        <v>23.116418738849365</v>
      </c>
      <c r="T49" s="30">
        <v>59.607237679244363</v>
      </c>
      <c r="U49" s="30">
        <v>-1.4898875414936468</v>
      </c>
      <c r="V49" s="30">
        <v>-1.5095476550667932</v>
      </c>
      <c r="W49" s="30">
        <v>0.093078581623402615</v>
      </c>
      <c r="X49" s="30">
        <v>0.5</v>
      </c>
      <c r="Y49" s="97">
        <v>1.4067500000000002</v>
      </c>
      <c r="Z49" s="30">
        <v>1.1010000000000002</v>
      </c>
      <c r="AA49" s="30">
        <v>0.30575000000000002</v>
      </c>
      <c r="AB49" s="30">
        <v>17.334968348038316</v>
      </c>
      <c r="AC49" s="30">
        <v>15.861169578900377</v>
      </c>
      <c r="AD49" s="30">
        <v>4</v>
      </c>
      <c r="AE49" s="30">
        <v>0.03925</v>
      </c>
      <c r="AF49" s="30">
        <v>4.1115300337609249</v>
      </c>
      <c r="AG49" s="30">
        <v>0.35700000000000004</v>
      </c>
      <c r="AH49" s="30">
        <v>0.14249999999999999</v>
      </c>
      <c r="AI49" s="30">
        <v>0.74400000000000011</v>
      </c>
      <c r="AJ49" s="30">
        <v>33.033667537155473</v>
      </c>
      <c r="AK49" s="30">
        <v>13.306554812031219</v>
      </c>
      <c r="AL49" s="30">
        <v>66.96633246284452</v>
      </c>
      <c r="AM49" s="30">
        <v>-1.5716665055577197</v>
      </c>
      <c r="AN49" s="30">
        <v>-1.5734471212059906</v>
      </c>
      <c r="AO49" s="30">
        <v>0.11473646537335455</v>
      </c>
      <c r="AP49" s="30">
        <v>1</v>
      </c>
      <c r="AQ49" s="30">
        <v>1.415</v>
      </c>
      <c r="AR49" s="30">
        <v>1.0635000000000001</v>
      </c>
      <c r="AS49" s="30">
        <v>0.35150000000000003</v>
      </c>
      <c r="AT49" s="30">
        <v>9.0738367023593938</v>
      </c>
      <c r="AU49" s="30">
        <v>8.8213357586491679</v>
      </c>
      <c r="AV49" s="30">
        <v>5</v>
      </c>
      <c r="AW49" s="30">
        <v>0.059500000000000011</v>
      </c>
      <c r="AX49" s="30">
        <v>5.1721322455103387</v>
      </c>
      <c r="AY49" s="30">
        <v>0.49650000000000005</v>
      </c>
      <c r="AZ49" s="30">
        <v>0.20550000000000002</v>
      </c>
      <c r="BA49" s="30">
        <v>0.56700000000000006</v>
      </c>
      <c r="BB49" s="30">
        <v>45.085269304721464</v>
      </c>
      <c r="BC49" s="30">
        <v>20.878772558398914</v>
      </c>
      <c r="BD49" s="30">
        <v>54.91473069527855</v>
      </c>
      <c r="BE49" s="30">
        <v>-1.597265834474827</v>
      </c>
      <c r="BF49" s="30">
        <v>-1.6349190367195063</v>
      </c>
      <c r="BG49" s="30">
        <v>0.12236741025158974</v>
      </c>
      <c r="BH49" s="30">
        <v>0.75</v>
      </c>
      <c r="BI49" s="30">
        <v>1.41825</v>
      </c>
      <c r="BJ49" s="30">
        <v>1.0545</v>
      </c>
      <c r="BK49" s="30">
        <v>0.36375000000000007</v>
      </c>
      <c r="BL49" s="30">
        <v>16.999211335022427</v>
      </c>
      <c r="BM49" s="30">
        <v>16.300195494626593</v>
      </c>
      <c r="BN49" s="30">
        <v>6</v>
      </c>
      <c r="BO49" s="30">
        <v>0.069750000000000006</v>
      </c>
      <c r="BP49" s="30">
        <v>6.0844249497994731</v>
      </c>
      <c r="BQ49" s="30">
        <v>0.42750000000000005</v>
      </c>
      <c r="BR49" s="30">
        <v>0.13950000000000001</v>
      </c>
      <c r="BS49" s="30">
        <v>0.627</v>
      </c>
      <c r="BT49" s="30">
        <v>40.709727881486202</v>
      </c>
      <c r="BU49" s="30">
        <v>13.126848197641838</v>
      </c>
      <c r="BV49" s="30">
        <v>59.290272118513805</v>
      </c>
      <c r="BW49" s="30">
        <v>-1.5291178709253517</v>
      </c>
      <c r="BX49" s="30">
        <v>-1.6319138446294026</v>
      </c>
      <c r="BY49" s="30">
        <v>0.091749003146295277</v>
      </c>
      <c r="BZ49" s="30">
        <v>0.5</v>
      </c>
    </row>
    <row r="50">
      <c r="A50" s="43" t="s">
        <v>139</v>
      </c>
      <c r="B50" s="43">
        <v>1</v>
      </c>
      <c r="C50" s="149">
        <v>8.0999999999999996</v>
      </c>
      <c r="D50" s="120">
        <v>0.15414296479570272</v>
      </c>
      <c r="E50" s="30">
        <v>1.1341973331734763</v>
      </c>
      <c r="F50" s="30">
        <v>0.27287511069736003</v>
      </c>
      <c r="G50" s="30">
        <v>1.5907500000000001</v>
      </c>
      <c r="H50" s="30">
        <v>1.0335000000000001</v>
      </c>
      <c r="I50" s="30">
        <v>0.55725000000000002</v>
      </c>
      <c r="J50" s="30">
        <v>8.7772876051114839</v>
      </c>
      <c r="K50" s="30">
        <v>9.1908406244715461</v>
      </c>
      <c r="L50" s="30">
        <v>3</v>
      </c>
      <c r="M50" s="30">
        <v>0.053249999999999999</v>
      </c>
      <c r="N50" s="30">
        <v>3.1303122371986407</v>
      </c>
      <c r="O50" s="30">
        <v>0.60899999999999999</v>
      </c>
      <c r="P50" s="30">
        <v>0.33450000000000002</v>
      </c>
      <c r="Q50" s="30">
        <v>0.42449999999999999</v>
      </c>
      <c r="R50" s="30">
        <v>56.117184889904571</v>
      </c>
      <c r="S50" s="30">
        <v>29.187481594790917</v>
      </c>
      <c r="T50" s="30">
        <v>43.882815110095436</v>
      </c>
      <c r="U50" s="30">
        <v>-1.5832554216493504</v>
      </c>
      <c r="V50" s="30">
        <v>-1.6499814457381174</v>
      </c>
      <c r="W50" s="30">
        <v>0.05704534868398127</v>
      </c>
      <c r="X50" s="30">
        <v>0.25</v>
      </c>
      <c r="Y50" s="97">
        <v>1.9170000000000003</v>
      </c>
      <c r="Z50" s="30">
        <v>1.3590000000000002</v>
      </c>
      <c r="AA50" s="30">
        <v>0.55800000000000005</v>
      </c>
      <c r="AB50" s="30">
        <v>17.309654968331394</v>
      </c>
      <c r="AC50" s="30">
        <v>13.026267476171762</v>
      </c>
      <c r="AD50" s="30">
        <v>4</v>
      </c>
      <c r="AE50" s="30">
        <v>0.040500000000000001</v>
      </c>
      <c r="AF50" s="30">
        <v>4.1110694373913717</v>
      </c>
      <c r="AG50" s="30">
        <v>0.78750000000000009</v>
      </c>
      <c r="AH50" s="30">
        <v>0.39300000000000002</v>
      </c>
      <c r="AI50" s="30">
        <v>0.57150000000000001</v>
      </c>
      <c r="AJ50" s="30">
        <v>57.877852941012769</v>
      </c>
      <c r="AK50" s="30">
        <v>28.521762122603604</v>
      </c>
      <c r="AL50" s="30">
        <v>42.122147058987224</v>
      </c>
      <c r="AM50" s="30">
        <v>-1.611479127832208</v>
      </c>
      <c r="AN50" s="30">
        <v>-1.6450519636063521</v>
      </c>
      <c r="AO50" s="30">
        <v>0.061434255069527335</v>
      </c>
      <c r="AP50" s="30">
        <v>0.5</v>
      </c>
      <c r="AQ50" s="30">
        <v>1.7092500000000002</v>
      </c>
      <c r="AR50" s="30">
        <v>1.29</v>
      </c>
      <c r="AS50" s="30">
        <v>0.48225000000000007</v>
      </c>
      <c r="AT50" s="30">
        <v>9.2398356274434281</v>
      </c>
      <c r="AU50" s="30">
        <v>7.522817497565641</v>
      </c>
      <c r="AV50" s="30">
        <v>5</v>
      </c>
      <c r="AW50" s="30">
        <v>0.05475</v>
      </c>
      <c r="AX50" s="30">
        <v>5.1799002124408053</v>
      </c>
      <c r="AY50" s="30">
        <v>0.59250000000000003</v>
      </c>
      <c r="AZ50" s="30">
        <v>0.33900000000000002</v>
      </c>
      <c r="BA50" s="30">
        <v>0.67400000000000004</v>
      </c>
      <c r="BB50" s="30">
        <v>48.053673852824204</v>
      </c>
      <c r="BC50" s="30">
        <v>23.847965073851274</v>
      </c>
      <c r="BD50" s="30">
        <v>51.946326147175796</v>
      </c>
      <c r="BE50" s="30">
        <v>-1.5062767087715483</v>
      </c>
      <c r="BF50" s="30">
        <v>-1.6375192726233223</v>
      </c>
      <c r="BG50" s="30">
        <v>0.074972769297906583</v>
      </c>
      <c r="BH50" s="30">
        <v>1.5</v>
      </c>
      <c r="BI50" s="30">
        <v>2.1755000000000004</v>
      </c>
      <c r="BJ50" s="30">
        <v>1.764</v>
      </c>
      <c r="BK50" s="30">
        <v>0.41150000000000003</v>
      </c>
      <c r="BL50" s="30">
        <v>17.471943582397977</v>
      </c>
      <c r="BM50" s="30">
        <v>10.147144756820328</v>
      </c>
      <c r="BN50" s="30">
        <v>6</v>
      </c>
      <c r="BO50" s="30">
        <v>0.041500000000000002</v>
      </c>
      <c r="BP50" s="30">
        <v>6.1050950455199748</v>
      </c>
      <c r="BQ50" s="30">
        <v>0.65700000000000003</v>
      </c>
      <c r="BR50" s="30">
        <v>0.47400000000000003</v>
      </c>
      <c r="BS50" s="30">
        <v>1.107</v>
      </c>
      <c r="BT50" s="30">
        <v>37.089831745650656</v>
      </c>
      <c r="BU50" s="30">
        <v>25.756525899466659</v>
      </c>
      <c r="BV50" s="30">
        <v>62.910168254349344</v>
      </c>
      <c r="BW50" s="30">
        <v>-1.5550788377006579</v>
      </c>
      <c r="BX50" s="30">
        <v>-1.6399605956711087</v>
      </c>
      <c r="BY50" s="30">
        <v>0.13510813326073695</v>
      </c>
      <c r="BZ50" s="30">
        <v>2</v>
      </c>
    </row>
    <row r="51" s="162" customFormat="1">
      <c r="A51" s="52" t="s">
        <v>138</v>
      </c>
      <c r="B51" s="52">
        <v>1</v>
      </c>
      <c r="C51" s="174">
        <v>9</v>
      </c>
      <c r="D51" s="165">
        <v>0.11277202457462536</v>
      </c>
      <c r="E51" s="49">
        <v>0.68193634989575513</v>
      </c>
      <c r="F51" s="49">
        <v>0.45836501332560997</v>
      </c>
      <c r="G51" s="30">
        <v>1.0486666666666666</v>
      </c>
      <c r="H51" s="30">
        <v>0.80399999999999994</v>
      </c>
      <c r="I51" s="30">
        <v>0.2446666666666667</v>
      </c>
      <c r="J51" s="30">
        <v>8.5272030908424217</v>
      </c>
      <c r="K51" s="30">
        <v>10.630600351914978</v>
      </c>
      <c r="L51" s="30">
        <v>3</v>
      </c>
      <c r="M51" s="30">
        <v>0.071999999999999995</v>
      </c>
      <c r="N51" s="30">
        <v>3.0851283642176468</v>
      </c>
      <c r="O51" s="30">
        <v>0.33000000000000002</v>
      </c>
      <c r="P51" s="30">
        <v>0.088000000000000009</v>
      </c>
      <c r="Q51" s="30">
        <v>0.47400000000000003</v>
      </c>
      <c r="R51" s="30">
        <v>42.372927674544933</v>
      </c>
      <c r="S51" s="30">
        <v>10.937773628386298</v>
      </c>
      <c r="T51" s="30">
        <v>57.627072325455082</v>
      </c>
      <c r="U51" s="30">
        <v>-1.663921197105634</v>
      </c>
      <c r="V51" s="30">
        <v>-1.6158529411636298</v>
      </c>
      <c r="W51" s="30">
        <v>0.096037604230542639</v>
      </c>
      <c r="X51" s="30">
        <v>0.66666666666666663</v>
      </c>
      <c r="Y51" s="97">
        <v>1.2084999999999999</v>
      </c>
      <c r="Z51" s="30">
        <v>1.032</v>
      </c>
      <c r="AA51" s="30">
        <v>0.17650000000000002</v>
      </c>
      <c r="AB51" s="30">
        <v>17.204897613225967</v>
      </c>
      <c r="AC51" s="30">
        <v>16.680314053556224</v>
      </c>
      <c r="AD51" s="30">
        <v>4</v>
      </c>
      <c r="AE51" s="30">
        <v>0.088000000000000009</v>
      </c>
      <c r="AF51" s="30">
        <v>4.0996736934756548</v>
      </c>
      <c r="AG51" s="30">
        <v>0.42599999999999999</v>
      </c>
      <c r="AH51" s="30">
        <v>0.10500000000000002</v>
      </c>
      <c r="AI51" s="30">
        <v>0.60600000000000009</v>
      </c>
      <c r="AJ51" s="30">
        <v>40.967032967032964</v>
      </c>
      <c r="AK51" s="30">
        <v>10.213017751479288</v>
      </c>
      <c r="AL51" s="30">
        <v>59.032967032967036</v>
      </c>
      <c r="AM51" s="30">
        <v>-1.7699740424718609</v>
      </c>
      <c r="AN51" s="30">
        <v>-1.626030777372625</v>
      </c>
      <c r="AO51" s="30">
        <v>0.13101237543682287</v>
      </c>
      <c r="AP51" s="30">
        <v>1</v>
      </c>
      <c r="AQ51" s="30">
        <v>1.1330000000000002</v>
      </c>
      <c r="AR51" s="30">
        <v>0.95550000000000002</v>
      </c>
      <c r="AS51" s="30">
        <v>0.17750000000000002</v>
      </c>
      <c r="AT51" s="30">
        <v>8.8126255390358939</v>
      </c>
      <c r="AU51" s="30">
        <v>9.2365116680093049</v>
      </c>
      <c r="AV51" s="30">
        <v>5</v>
      </c>
      <c r="AW51" s="30">
        <v>0.046000000000000006</v>
      </c>
      <c r="AX51" s="30">
        <v>5.1275802072043248</v>
      </c>
      <c r="AY51" s="30">
        <v>0.27450000000000002</v>
      </c>
      <c r="AZ51" s="30">
        <v>0.14250000000000002</v>
      </c>
      <c r="BA51" s="30">
        <v>0.68100000000000005</v>
      </c>
      <c r="BB51" s="30">
        <v>28.864771823028939</v>
      </c>
      <c r="BC51" s="30">
        <v>15.11246472598973</v>
      </c>
      <c r="BD51" s="30">
        <v>71.135228176971069</v>
      </c>
      <c r="BE51" s="30">
        <v>-1.5047295913406744</v>
      </c>
      <c r="BF51" s="30">
        <v>-1.4766539125601426</v>
      </c>
      <c r="BG51" s="30">
        <v>0.14350255934583775</v>
      </c>
      <c r="BH51" s="30">
        <v>1.5</v>
      </c>
      <c r="BI51" s="30">
        <v>1.4910000000000003</v>
      </c>
      <c r="BJ51" s="30">
        <v>1.1520000000000001</v>
      </c>
      <c r="BK51" s="30">
        <v>0.33900000000000002</v>
      </c>
      <c r="BL51" s="30">
        <v>17.120084071018617</v>
      </c>
      <c r="BM51" s="30">
        <v>14.863362136002394</v>
      </c>
      <c r="BN51" s="30">
        <v>6</v>
      </c>
      <c r="BO51" s="30">
        <v>0.032000000000000001</v>
      </c>
      <c r="BP51" s="30">
        <v>6.08671410595624</v>
      </c>
      <c r="BQ51" s="30">
        <v>0.26700000000000002</v>
      </c>
      <c r="BR51" s="30">
        <v>0.10800000000000003</v>
      </c>
      <c r="BS51" s="30">
        <v>0.88500000000000012</v>
      </c>
      <c r="BT51" s="30">
        <v>23.171459576776993</v>
      </c>
      <c r="BU51" s="30">
        <v>9.3977211068909376</v>
      </c>
      <c r="BV51" s="30">
        <v>76.828540423223018</v>
      </c>
      <c r="BW51" s="30">
        <v>-1.6998980836701971</v>
      </c>
      <c r="BX51" s="30">
        <v>-1.4850405598720371</v>
      </c>
      <c r="BY51" s="30">
        <v>0.12425255216205659</v>
      </c>
      <c r="BZ51" s="30">
        <v>3</v>
      </c>
    </row>
    <row r="52" s="162" customFormat="1">
      <c r="A52" s="52" t="s">
        <v>138</v>
      </c>
      <c r="B52" s="52">
        <v>2</v>
      </c>
      <c r="C52" s="174">
        <v>9</v>
      </c>
      <c r="D52" s="165">
        <v>0.18521070885535235</v>
      </c>
      <c r="E52" s="49">
        <v>0.2756610313190338</v>
      </c>
      <c r="F52" s="49">
        <v>0.66512630448081334</v>
      </c>
      <c r="G52" s="30">
        <v>0.88975000000000004</v>
      </c>
      <c r="H52" s="30">
        <v>0.57000000000000006</v>
      </c>
      <c r="I52" s="30">
        <v>0.31974999999999998</v>
      </c>
      <c r="J52" s="30">
        <v>8.7850828681734381</v>
      </c>
      <c r="K52" s="30">
        <v>15.475326530707553</v>
      </c>
      <c r="L52" s="30">
        <v>3</v>
      </c>
      <c r="M52" s="30">
        <v>0.034250000000000003</v>
      </c>
      <c r="N52" s="30">
        <v>3.1250903301081703</v>
      </c>
      <c r="O52" s="30">
        <v>0.30600000000000005</v>
      </c>
      <c r="P52" s="30">
        <v>0.094500000000000015</v>
      </c>
      <c r="Q52" s="30">
        <v>0.26400000000000001</v>
      </c>
      <c r="R52" s="30">
        <v>53.521095055404729</v>
      </c>
      <c r="S52" s="30">
        <v>16.70190570289612</v>
      </c>
      <c r="T52" s="30">
        <v>46.478904944595271</v>
      </c>
      <c r="U52" s="30">
        <v>-1.4938731386928392</v>
      </c>
      <c r="V52" s="30">
        <v>-1.5400396912042291</v>
      </c>
      <c r="W52" s="30">
        <v>0.13860641173869842</v>
      </c>
      <c r="X52" s="30">
        <v>0</v>
      </c>
      <c r="Y52" s="97">
        <v>1.0447500000000001</v>
      </c>
      <c r="Z52" s="30">
        <v>0.62850000000000006</v>
      </c>
      <c r="AA52" s="30">
        <v>0.41624999999999995</v>
      </c>
      <c r="AB52" s="30">
        <v>17.149861784141471</v>
      </c>
      <c r="AC52" s="30">
        <v>28.522362284537358</v>
      </c>
      <c r="AD52" s="30">
        <v>4</v>
      </c>
      <c r="AE52" s="30">
        <v>0.012750000000000001</v>
      </c>
      <c r="AF52" s="30">
        <v>4.0925555995622833</v>
      </c>
      <c r="AG52" s="30">
        <v>0.33300000000000002</v>
      </c>
      <c r="AH52" s="30">
        <v>0.14100000000000001</v>
      </c>
      <c r="AI52" s="30">
        <v>0.29550000000000004</v>
      </c>
      <c r="AJ52" s="30">
        <v>53.159169759100237</v>
      </c>
      <c r="AK52" s="30">
        <v>23.806092175735088</v>
      </c>
      <c r="AL52" s="30">
        <v>46.840830240899763</v>
      </c>
      <c r="AM52" s="30">
        <v>-1.4203802471394456</v>
      </c>
      <c r="AN52" s="30">
        <v>-1.51821977620285</v>
      </c>
      <c r="AO52" s="30">
        <v>0.11899641929323868</v>
      </c>
      <c r="AP52" s="30">
        <v>0</v>
      </c>
      <c r="AQ52" s="30">
        <v>0.89200000000000013</v>
      </c>
      <c r="AR52" s="30">
        <v>0.68400000000000005</v>
      </c>
      <c r="AS52" s="30">
        <v>0.20800000000000005</v>
      </c>
      <c r="AT52" s="30">
        <v>8.7759185418970471</v>
      </c>
      <c r="AU52" s="30">
        <v>12.830290265931355</v>
      </c>
      <c r="AV52" s="30">
        <v>5</v>
      </c>
      <c r="AW52" s="30">
        <v>0.043999999999999997</v>
      </c>
      <c r="AX52" s="30">
        <v>5.1279993264939625</v>
      </c>
      <c r="AY52" s="30">
        <v>0.36000000000000004</v>
      </c>
      <c r="AZ52" s="30">
        <v>0.10800000000000001</v>
      </c>
      <c r="BA52" s="30">
        <v>0.32400000000000001</v>
      </c>
      <c r="BB52" s="30">
        <v>52.631578947368425</v>
      </c>
      <c r="BC52" s="30">
        <v>15.789473684210526</v>
      </c>
      <c r="BD52" s="30">
        <v>47.368421052631575</v>
      </c>
      <c r="BE52" s="30">
        <v>-1.3998289388451797</v>
      </c>
      <c r="BF52" s="30">
        <v>-1.5581456660157544</v>
      </c>
      <c r="BG52" s="30">
        <v>0.093143109277951719</v>
      </c>
      <c r="BH52" s="30">
        <v>0</v>
      </c>
      <c r="BI52" s="30">
        <v>1.5110000000000001</v>
      </c>
      <c r="BJ52" s="30">
        <v>1.2140000000000002</v>
      </c>
      <c r="BK52" s="30">
        <v>0.29700000000000004</v>
      </c>
      <c r="BL52" s="30">
        <v>17.533622292975696</v>
      </c>
      <c r="BM52" s="30">
        <v>14.795099753076302</v>
      </c>
      <c r="BN52" s="30">
        <v>6</v>
      </c>
      <c r="BO52" s="30">
        <v>0.052750000000000005</v>
      </c>
      <c r="BP52" s="30">
        <v>6.082904373755011</v>
      </c>
      <c r="BQ52" s="30">
        <v>0.35400000000000004</v>
      </c>
      <c r="BR52" s="30">
        <v>0.16200000000000001</v>
      </c>
      <c r="BS52" s="30">
        <v>0.85999999999999999</v>
      </c>
      <c r="BT52" s="30">
        <v>29.470921915403466</v>
      </c>
      <c r="BU52" s="30">
        <v>13.048647244673292</v>
      </c>
      <c r="BV52" s="30">
        <v>70.529078084596549</v>
      </c>
      <c r="BW52" s="30">
        <v>-1.4299950296712447</v>
      </c>
      <c r="BX52" s="30">
        <v>-1.5304871606733823</v>
      </c>
      <c r="BY52" s="30">
        <v>0.19659576587790151</v>
      </c>
      <c r="BZ52" s="30">
        <v>2</v>
      </c>
    </row>
    <row r="53">
      <c r="A53" s="42" t="s">
        <v>139</v>
      </c>
      <c r="B53" s="43">
        <v>1</v>
      </c>
      <c r="C53" s="98">
        <v>9</v>
      </c>
      <c r="D53" s="120">
        <v>-0.032434229129309294</v>
      </c>
      <c r="E53" s="30">
        <v>1.6998906702274452</v>
      </c>
      <c r="F53" s="30">
        <v>0.0014948445002502808</v>
      </c>
      <c r="G53" s="30">
        <v>1.5230000000000001</v>
      </c>
      <c r="H53" s="30">
        <v>0.92849999999999999</v>
      </c>
      <c r="I53" s="30">
        <v>0.59450000000000003</v>
      </c>
      <c r="J53" s="30">
        <v>8.6882508501892133</v>
      </c>
      <c r="K53" s="30">
        <v>9.3988448632568833</v>
      </c>
      <c r="L53" s="30">
        <v>3</v>
      </c>
      <c r="M53" s="30">
        <v>0.056499999999999995</v>
      </c>
      <c r="N53" s="30">
        <v>3.1093000693436652</v>
      </c>
      <c r="O53" s="30">
        <v>0.48299999999999998</v>
      </c>
      <c r="P53" s="30">
        <v>0.15450000000000003</v>
      </c>
      <c r="Q53" s="30">
        <v>0.44550000000000001</v>
      </c>
      <c r="R53" s="30">
        <v>51.175072679673512</v>
      </c>
      <c r="S53" s="30">
        <v>16.30030533083518</v>
      </c>
      <c r="T53" s="30">
        <v>48.824927320326495</v>
      </c>
      <c r="U53" s="30">
        <v>-1.8079529076168419</v>
      </c>
      <c r="V53" s="30">
        <v>-1.6724533680770191</v>
      </c>
      <c r="W53" s="30">
        <v>0.096147567202825912</v>
      </c>
      <c r="X53" s="30">
        <v>0.75</v>
      </c>
      <c r="Y53" s="97">
        <v>1.4490000000000003</v>
      </c>
      <c r="Z53" s="30">
        <v>1.3965000000000003</v>
      </c>
      <c r="AA53" s="30">
        <v>0.052500000000000012</v>
      </c>
      <c r="AB53" s="30">
        <v>17.102523805868096</v>
      </c>
      <c r="AC53" s="30">
        <v>16.835482737713008</v>
      </c>
      <c r="AD53" s="30">
        <v>4</v>
      </c>
      <c r="AE53" s="30">
        <v>0.070500000000000007</v>
      </c>
      <c r="AF53" s="30">
        <v>4.0500778057023279</v>
      </c>
      <c r="AG53" s="30">
        <v>0.60899999999999999</v>
      </c>
      <c r="AH53" s="30">
        <v>0.21900000000000003</v>
      </c>
      <c r="AI53" s="30">
        <v>0.78750000000000009</v>
      </c>
      <c r="AJ53" s="30">
        <v>48.206472847257118</v>
      </c>
      <c r="AK53" s="30">
        <v>15.708093132746271</v>
      </c>
      <c r="AL53" s="30">
        <v>51.793527152742875</v>
      </c>
      <c r="AM53" s="30">
        <v>-1.7327408326051592</v>
      </c>
      <c r="AN53" s="30">
        <v>-1.8220274759910855</v>
      </c>
      <c r="AO53" s="30">
        <v>0.17239901834124985</v>
      </c>
      <c r="AP53" s="30">
        <v>2</v>
      </c>
      <c r="AQ53" s="30">
        <v>2.1123333333333334</v>
      </c>
      <c r="AR53" s="30">
        <v>2.706</v>
      </c>
      <c r="AS53" s="30">
        <v>0.76033333333333342</v>
      </c>
      <c r="AT53" s="30">
        <v>9.264889710502457</v>
      </c>
      <c r="AU53" s="30">
        <v>3.4238321177023123</v>
      </c>
      <c r="AV53" s="30">
        <v>5</v>
      </c>
      <c r="AW53" s="30">
        <v>0.054500000000000007</v>
      </c>
      <c r="AX53" s="30">
        <v>5.1959313041783899</v>
      </c>
      <c r="AY53" s="30">
        <v>0.50800000000000001</v>
      </c>
      <c r="AZ53" s="30">
        <v>0.34600000000000003</v>
      </c>
      <c r="BA53" s="30">
        <v>1.6019999999999999</v>
      </c>
      <c r="BB53" s="30">
        <v>34.733862502872547</v>
      </c>
      <c r="BC53" s="30">
        <v>17.282354183358489</v>
      </c>
      <c r="BD53" s="30">
        <v>65.266137497127445</v>
      </c>
      <c r="BE53" s="30">
        <v>-1.6984927176888884</v>
      </c>
      <c r="BF53" s="30">
        <v>-1.528066524414144</v>
      </c>
      <c r="BG53" s="30">
        <v>0.17222703042071222</v>
      </c>
      <c r="BH53" s="30">
        <v>2</v>
      </c>
      <c r="BI53" s="30">
        <v>1.2330000000000001</v>
      </c>
      <c r="BJ53" s="30">
        <v>1.2210000000000001</v>
      </c>
      <c r="BK53" s="30">
        <v>0.012000000000000007</v>
      </c>
      <c r="BL53" s="30">
        <v>17.166934083966225</v>
      </c>
      <c r="BM53" s="30">
        <v>15.245680577396822</v>
      </c>
      <c r="BN53" s="30">
        <v>6</v>
      </c>
      <c r="BO53" s="30">
        <v>0.076499999999999999</v>
      </c>
      <c r="BP53" s="30">
        <v>6.0950471743611141</v>
      </c>
      <c r="BQ53" s="30">
        <v>0.86099999999999999</v>
      </c>
      <c r="BR53" s="30">
        <v>0.089999999999999997</v>
      </c>
      <c r="BS53" s="30">
        <v>0.35999999999999999</v>
      </c>
      <c r="BT53" s="30">
        <v>66.566309192815226</v>
      </c>
      <c r="BU53" s="30">
        <v>8.2169529767421334</v>
      </c>
      <c r="BV53" s="30">
        <v>33.433690807184782</v>
      </c>
      <c r="BW53" s="30">
        <v>-1.7721640939890577</v>
      </c>
      <c r="BX53" s="30">
        <v>-1.8662999534754388</v>
      </c>
      <c r="BY53" s="30">
        <v>0.13440030310415313</v>
      </c>
      <c r="BZ53" s="30">
        <v>0.25</v>
      </c>
    </row>
    <row r="54" s="162" customFormat="1">
      <c r="A54" s="52" t="s">
        <v>138</v>
      </c>
      <c r="B54" s="52">
        <v>2</v>
      </c>
      <c r="C54" s="172">
        <v>9</v>
      </c>
      <c r="D54" s="165">
        <v>0.10613364455562957</v>
      </c>
      <c r="E54" s="49">
        <v>0.79167609395236471</v>
      </c>
      <c r="F54" s="49">
        <v>0.31443059785451166</v>
      </c>
      <c r="G54" s="30">
        <v>1.0807500000000001</v>
      </c>
      <c r="H54" s="30">
        <v>0.74850000000000005</v>
      </c>
      <c r="I54" s="30">
        <v>0.33224999999999999</v>
      </c>
      <c r="J54" s="30">
        <v>9.0245749767889265</v>
      </c>
      <c r="K54" s="30">
        <v>12.779314517341662</v>
      </c>
      <c r="L54" s="30">
        <v>3</v>
      </c>
      <c r="M54" s="30">
        <v>0.051749999999999997</v>
      </c>
      <c r="N54" s="30">
        <v>3.1697025626790953</v>
      </c>
      <c r="O54" s="30">
        <v>0.36150000000000004</v>
      </c>
      <c r="P54" s="30">
        <v>0.2145</v>
      </c>
      <c r="Q54" s="30">
        <v>0.38700000000000001</v>
      </c>
      <c r="R54" s="30">
        <v>46.809691745036574</v>
      </c>
      <c r="S54" s="30">
        <v>24.574407871821666</v>
      </c>
      <c r="T54" s="30">
        <v>53.190308254963426</v>
      </c>
      <c r="U54" s="30">
        <v>-1.5421756503310131</v>
      </c>
      <c r="V54" s="30">
        <v>-1.5855038080326684</v>
      </c>
      <c r="W54" s="30">
        <v>0.067286374668518376</v>
      </c>
      <c r="X54" s="30">
        <v>0</v>
      </c>
      <c r="Y54" s="97">
        <v>1.3615000000000002</v>
      </c>
      <c r="Z54" s="30">
        <v>0.90150000000000008</v>
      </c>
      <c r="AA54" s="30">
        <v>0.46000000000000008</v>
      </c>
      <c r="AB54" s="30">
        <v>17.231627311349794</v>
      </c>
      <c r="AC54" s="30">
        <v>19.236300896515267</v>
      </c>
      <c r="AD54" s="30">
        <v>4</v>
      </c>
      <c r="AE54" s="30">
        <v>0.036500000000000005</v>
      </c>
      <c r="AF54" s="30">
        <v>4.1015637761654649</v>
      </c>
      <c r="AG54" s="30">
        <v>0.27450000000000002</v>
      </c>
      <c r="AH54" s="30">
        <v>0.079500000000000001</v>
      </c>
      <c r="AI54" s="30">
        <v>0.627</v>
      </c>
      <c r="AJ54" s="30">
        <v>30.591871408970071</v>
      </c>
      <c r="AK54" s="30">
        <v>8.7430537689735015</v>
      </c>
      <c r="AL54" s="30">
        <v>69.408128591029936</v>
      </c>
      <c r="AM54" s="30">
        <v>-1.4767727370378343</v>
      </c>
      <c r="AN54" s="30">
        <v>-1.512028708329628</v>
      </c>
      <c r="AO54" s="30">
        <v>0.11718542720535359</v>
      </c>
      <c r="AP54" s="30">
        <v>1.25</v>
      </c>
      <c r="AQ54" s="30">
        <v>1.2030000000000001</v>
      </c>
      <c r="AR54" s="30">
        <v>0.77700000000000002</v>
      </c>
      <c r="AS54" s="30">
        <v>0.42600000000000005</v>
      </c>
      <c r="AT54" s="30">
        <v>8.7700545478060707</v>
      </c>
      <c r="AU54" s="30">
        <v>11.652673699300189</v>
      </c>
      <c r="AV54" s="30">
        <v>5</v>
      </c>
      <c r="AW54" s="30">
        <v>0.052500000000000005</v>
      </c>
      <c r="AX54" s="30">
        <v>5.127197571123439</v>
      </c>
      <c r="AY54" s="30">
        <v>0.23400000000000004</v>
      </c>
      <c r="AZ54" s="30">
        <v>0.094500000000000015</v>
      </c>
      <c r="BA54" s="30">
        <v>0.54300000000000004</v>
      </c>
      <c r="BB54" s="30">
        <v>30.54862516999113</v>
      </c>
      <c r="BC54" s="30">
        <v>12.282937172649326</v>
      </c>
      <c r="BD54" s="30">
        <v>69.451374830008874</v>
      </c>
      <c r="BE54" s="30">
        <v>-1.472868566684032</v>
      </c>
      <c r="BF54" s="30">
        <v>-1.4600367221112402</v>
      </c>
      <c r="BG54" s="30">
        <v>0.085598437370768457</v>
      </c>
      <c r="BH54" s="30">
        <v>1</v>
      </c>
      <c r="BI54" s="30">
        <v>1.4822500000000001</v>
      </c>
      <c r="BJ54" s="30">
        <v>1.1204999999999998</v>
      </c>
      <c r="BK54" s="30">
        <v>0.36175000000000002</v>
      </c>
      <c r="BL54" s="30">
        <v>16.908115048271863</v>
      </c>
      <c r="BM54" s="30">
        <v>15.676228371234789</v>
      </c>
      <c r="BN54" s="30">
        <v>6</v>
      </c>
      <c r="BO54" s="30">
        <v>0.053750000000000006</v>
      </c>
      <c r="BP54" s="30">
        <v>6.07631505762693</v>
      </c>
      <c r="BQ54" s="30">
        <v>0.36150000000000004</v>
      </c>
      <c r="BR54" s="30">
        <v>0.11850000000000001</v>
      </c>
      <c r="BS54" s="30">
        <v>0.75900000000000012</v>
      </c>
      <c r="BT54" s="30">
        <v>32.301193510981712</v>
      </c>
      <c r="BU54" s="30">
        <v>10.115882649097747</v>
      </c>
      <c r="BV54" s="30">
        <v>67.698806489018281</v>
      </c>
      <c r="BW54" s="30">
        <v>-1.4839062295122163</v>
      </c>
      <c r="BX54" s="30">
        <v>-1.5942513513842527</v>
      </c>
      <c r="BY54" s="30">
        <v>0.087427856673300886</v>
      </c>
      <c r="BZ54" s="30">
        <v>1.25</v>
      </c>
    </row>
    <row r="55" s="162" customFormat="1">
      <c r="A55" s="52" t="s">
        <v>138</v>
      </c>
      <c r="B55" s="47">
        <v>1</v>
      </c>
      <c r="C55" s="173">
        <v>9</v>
      </c>
      <c r="D55" s="165">
        <v>0.10950512823955584</v>
      </c>
      <c r="E55" s="49">
        <v>0.45343163755098892</v>
      </c>
      <c r="F55" s="49">
        <v>0.49117524480105978</v>
      </c>
      <c r="G55" s="30">
        <v>0.79500000000000004</v>
      </c>
      <c r="H55" s="30">
        <v>0.44400000000000006</v>
      </c>
      <c r="I55" s="30">
        <v>0.35100000000000003</v>
      </c>
      <c r="J55" s="30">
        <v>9.0099317841444968</v>
      </c>
      <c r="K55" s="30">
        <v>20.627560739230042</v>
      </c>
      <c r="L55" s="30">
        <v>3</v>
      </c>
      <c r="M55" s="30">
        <v>0.045000000000000005</v>
      </c>
      <c r="N55" s="30">
        <v>3.1540991361641071</v>
      </c>
      <c r="O55" s="30">
        <v>0.19950000000000001</v>
      </c>
      <c r="P55" s="30">
        <v>0.070500000000000007</v>
      </c>
      <c r="Q55" s="30">
        <v>0.24450000000000002</v>
      </c>
      <c r="R55" s="30">
        <v>45.223217712280118</v>
      </c>
      <c r="S55" s="30">
        <v>16.468673462979634</v>
      </c>
      <c r="T55" s="30">
        <v>54.77678228771989</v>
      </c>
      <c r="U55" s="30">
        <v>-1.424964761541188</v>
      </c>
      <c r="V55" s="30">
        <v>-1.4175279744726006</v>
      </c>
      <c r="W55" s="30">
        <v>0.069764628219317337</v>
      </c>
      <c r="X55" s="30">
        <v>0.5</v>
      </c>
      <c r="Y55" s="97">
        <v>0.92225000000000001</v>
      </c>
      <c r="Z55" s="30">
        <v>0.57300000000000006</v>
      </c>
      <c r="AA55" s="30">
        <v>0.34925</v>
      </c>
      <c r="AB55" s="30">
        <v>17.042444157265447</v>
      </c>
      <c r="AC55" s="30">
        <v>30.154668370663774</v>
      </c>
      <c r="AD55" s="30">
        <v>4</v>
      </c>
      <c r="AE55" s="30">
        <v>0.052750000000000005</v>
      </c>
      <c r="AF55" s="30">
        <v>4.0876846425113342</v>
      </c>
      <c r="AG55" s="30">
        <v>0.27000000000000002</v>
      </c>
      <c r="AH55" s="30">
        <v>0.078000000000000014</v>
      </c>
      <c r="AI55" s="30">
        <v>0.30299999999999999</v>
      </c>
      <c r="AJ55" s="30">
        <v>47.421903787057609</v>
      </c>
      <c r="AK55" s="30">
        <v>14.005669317535444</v>
      </c>
      <c r="AL55" s="30">
        <v>52.578096212942384</v>
      </c>
      <c r="AM55" s="30">
        <v>-1.4369130693814978</v>
      </c>
      <c r="AN55" s="30">
        <v>-1.5013699044213988</v>
      </c>
      <c r="AO55" s="30">
        <v>0.10796357014573832</v>
      </c>
      <c r="AP55" s="30">
        <v>0</v>
      </c>
      <c r="AQ55" s="30">
        <v>0.98566666666666658</v>
      </c>
      <c r="AR55" s="30">
        <v>0.65700000000000003</v>
      </c>
      <c r="AS55" s="30">
        <v>0.37766666666666665</v>
      </c>
      <c r="AT55" s="30">
        <v>9.1740955507411677</v>
      </c>
      <c r="AU55" s="30">
        <v>14.42684820180885</v>
      </c>
      <c r="AV55" s="30">
        <v>5</v>
      </c>
      <c r="AW55" s="30">
        <v>0.038750000000000007</v>
      </c>
      <c r="AX55" s="30">
        <v>5.1157129631526095</v>
      </c>
      <c r="AY55" s="30">
        <v>0.20599999999999999</v>
      </c>
      <c r="AZ55" s="30">
        <v>0.062</v>
      </c>
      <c r="BA55" s="30">
        <v>0.42900000000000005</v>
      </c>
      <c r="BB55" s="30">
        <v>34.527050931406563</v>
      </c>
      <c r="BC55" s="30">
        <v>10.632764556204162</v>
      </c>
      <c r="BD55" s="30">
        <v>65.472949068593437</v>
      </c>
      <c r="BE55" s="30">
        <v>-1.4033719392587776</v>
      </c>
      <c r="BF55" s="30">
        <v>-1.4412260963740617</v>
      </c>
      <c r="BG55" s="30">
        <v>0.13133654221159172</v>
      </c>
      <c r="BH55" s="30">
        <v>1.3333333333333333</v>
      </c>
      <c r="BI55" s="30">
        <v>1.1225000000000001</v>
      </c>
      <c r="BJ55" s="30">
        <v>0.84200000000000008</v>
      </c>
      <c r="BK55" s="30">
        <v>0.36350000000000005</v>
      </c>
      <c r="BL55" s="30">
        <v>17.474772855774603</v>
      </c>
      <c r="BM55" s="30">
        <v>20.801213860399102</v>
      </c>
      <c r="BN55" s="30">
        <v>6</v>
      </c>
      <c r="BO55" s="30">
        <v>0.045999999999999999</v>
      </c>
      <c r="BP55" s="30">
        <v>6.0643114774170002</v>
      </c>
      <c r="BQ55" s="30">
        <v>0.24900000000000003</v>
      </c>
      <c r="BR55" s="30">
        <v>0.088500000000000009</v>
      </c>
      <c r="BS55" s="30">
        <v>0.58399999999999996</v>
      </c>
      <c r="BT55" s="30">
        <v>33.844037955034807</v>
      </c>
      <c r="BU55" s="30">
        <v>12.747399276602874</v>
      </c>
      <c r="BV55" s="30">
        <v>66.155962044965193</v>
      </c>
      <c r="BW55" s="30">
        <v>-1.4031178999064249</v>
      </c>
      <c r="BX55" s="30">
        <v>-1.4768444969065453</v>
      </c>
      <c r="BY55" s="30">
        <v>0.15811654607949793</v>
      </c>
      <c r="BZ55" s="30">
        <v>1</v>
      </c>
    </row>
    <row r="56">
      <c r="A56" s="43" t="s">
        <v>139</v>
      </c>
      <c r="B56" s="43">
        <v>1</v>
      </c>
      <c r="C56" s="149">
        <v>9.0099999999999998</v>
      </c>
      <c r="D56" s="120">
        <v>0.25663349520177686</v>
      </c>
      <c r="E56" s="30">
        <v>0.82192958183994602</v>
      </c>
      <c r="F56" s="30">
        <v>0.16379700745491144</v>
      </c>
      <c r="G56" s="30">
        <v>1.3107500000000001</v>
      </c>
      <c r="H56" s="30">
        <v>0.88650000000000007</v>
      </c>
      <c r="I56" s="30">
        <v>0.42424999999999996</v>
      </c>
      <c r="J56" s="30">
        <v>8.7191676109220158</v>
      </c>
      <c r="K56" s="30">
        <v>10.093178922261099</v>
      </c>
      <c r="L56" s="30">
        <v>3</v>
      </c>
      <c r="M56" s="30">
        <v>0.022749999999999999</v>
      </c>
      <c r="N56" s="30">
        <v>3.1173186915895679</v>
      </c>
      <c r="O56" s="30">
        <v>0.49800000000000005</v>
      </c>
      <c r="P56" s="30">
        <v>0.34650000000000003</v>
      </c>
      <c r="Q56" s="30">
        <v>0.38850000000000001</v>
      </c>
      <c r="R56" s="30">
        <v>56.780638551031203</v>
      </c>
      <c r="S56" s="30">
        <v>39.872201656971619</v>
      </c>
      <c r="T56" s="30">
        <v>43.219361448968797</v>
      </c>
      <c r="U56" s="30">
        <v>-1.6100380671458159</v>
      </c>
      <c r="V56" s="30">
        <v>-1.607013933434942</v>
      </c>
      <c r="W56" s="30">
        <v>0.062195949690363371</v>
      </c>
      <c r="X56" s="30">
        <v>0.5</v>
      </c>
      <c r="Y56" s="97">
        <v>2.4077500000000001</v>
      </c>
      <c r="Z56" s="30">
        <v>2.0460000000000003</v>
      </c>
      <c r="AA56" s="30">
        <v>0.36175000000000002</v>
      </c>
      <c r="AB56" s="30">
        <v>17.416924511925401</v>
      </c>
      <c r="AC56" s="30">
        <v>9.9656887470302866</v>
      </c>
      <c r="AD56" s="30">
        <v>4</v>
      </c>
      <c r="AE56" s="30">
        <v>0.017749999999999998</v>
      </c>
      <c r="AF56" s="30">
        <v>4.0513792888929059</v>
      </c>
      <c r="AG56" s="30">
        <v>0.85950000000000004</v>
      </c>
      <c r="AH56" s="30">
        <v>0.59099999999999997</v>
      </c>
      <c r="AI56" s="30">
        <v>1.1865000000000001</v>
      </c>
      <c r="AJ56" s="30">
        <v>51.477200577200577</v>
      </c>
      <c r="AK56" s="30">
        <v>34.637121212121215</v>
      </c>
      <c r="AL56" s="30">
        <v>48.522799422799423</v>
      </c>
      <c r="AM56" s="30">
        <v>-1.7625371361494504</v>
      </c>
      <c r="AN56" s="30">
        <v>-1.67848185290848</v>
      </c>
      <c r="AO56" s="30">
        <v>0.21888465932612372</v>
      </c>
      <c r="AP56" s="30">
        <v>3</v>
      </c>
      <c r="AQ56" s="30">
        <v>1.9087500000000002</v>
      </c>
      <c r="AR56" s="30">
        <v>1.4220000000000002</v>
      </c>
      <c r="AS56" s="30">
        <v>0.48675000000000007</v>
      </c>
      <c r="AT56" s="30">
        <v>8.7099510593909528</v>
      </c>
      <c r="AU56" s="30">
        <v>6.2993744308799293</v>
      </c>
      <c r="AV56" s="30">
        <v>5</v>
      </c>
      <c r="AW56" s="30">
        <v>0.038249999999999999</v>
      </c>
      <c r="AX56" s="30">
        <v>5.1067275904755931</v>
      </c>
      <c r="AY56" s="30">
        <v>0.57150000000000012</v>
      </c>
      <c r="AZ56" s="30">
        <v>0.13650000000000001</v>
      </c>
      <c r="BA56" s="30">
        <v>0.85050000000000003</v>
      </c>
      <c r="BB56" s="30">
        <v>41.275638154948503</v>
      </c>
      <c r="BC56" s="30">
        <v>8.9247930868620529</v>
      </c>
      <c r="BD56" s="30">
        <v>58.724361845051497</v>
      </c>
      <c r="BE56" s="30">
        <v>-1.693102046028742</v>
      </c>
      <c r="BF56" s="30">
        <v>-1.6600051114952783</v>
      </c>
      <c r="BG56" s="30">
        <v>0.13671153510073991</v>
      </c>
      <c r="BH56" s="30">
        <v>1.75</v>
      </c>
      <c r="BI56" s="30">
        <v>2.3675000000000002</v>
      </c>
      <c r="BJ56" s="30">
        <v>1.8675000000000002</v>
      </c>
      <c r="BK56" s="30">
        <v>0.5</v>
      </c>
      <c r="BL56" s="30">
        <v>16.860331634667091</v>
      </c>
      <c r="BM56" s="30">
        <v>9.5445137409213849</v>
      </c>
      <c r="BN56" s="30">
        <v>6</v>
      </c>
      <c r="BO56" s="30">
        <v>0.040000000000000001</v>
      </c>
      <c r="BP56" s="30">
        <v>6.066029307873448</v>
      </c>
      <c r="BQ56" s="30">
        <v>0.73050000000000004</v>
      </c>
      <c r="BR56" s="30">
        <v>0.49800000000000005</v>
      </c>
      <c r="BS56" s="30">
        <v>1.137</v>
      </c>
      <c r="BT56" s="30">
        <v>39.957230566252449</v>
      </c>
      <c r="BU56" s="30">
        <v>25.55892730179475</v>
      </c>
      <c r="BV56" s="30">
        <v>60.042769433747551</v>
      </c>
      <c r="BW56" s="30">
        <v>-1.6517767564643191</v>
      </c>
      <c r="BX56" s="30">
        <v>-1.7013141257952884</v>
      </c>
      <c r="BY56" s="30">
        <v>0.13805800586915318</v>
      </c>
      <c r="BZ56" s="30">
        <v>2.5</v>
      </c>
    </row>
    <row r="57" s="162" customFormat="1">
      <c r="A57" s="52" t="s">
        <v>138</v>
      </c>
      <c r="B57" s="52">
        <v>2</v>
      </c>
      <c r="C57" s="172">
        <v>9.0099999999999998</v>
      </c>
      <c r="D57" s="165">
        <v>0.14506853156265023</v>
      </c>
      <c r="E57" s="49">
        <v>0.64902857448759588</v>
      </c>
      <c r="F57" s="49">
        <v>0.47264004150746086</v>
      </c>
      <c r="G57" s="30">
        <v>1.1012500000000003</v>
      </c>
      <c r="H57" s="30">
        <v>0.75150000000000006</v>
      </c>
      <c r="I57" s="30">
        <v>0.34975000000000001</v>
      </c>
      <c r="J57" s="30">
        <v>8.6159988147381625</v>
      </c>
      <c r="K57" s="30">
        <v>11.488409477940415</v>
      </c>
      <c r="L57" s="30">
        <v>3</v>
      </c>
      <c r="M57" s="30">
        <v>0.044750000000000005</v>
      </c>
      <c r="N57" s="30">
        <v>3.0955980036274444</v>
      </c>
      <c r="O57" s="30">
        <v>0.40350000000000003</v>
      </c>
      <c r="P57" s="30">
        <v>0.17400000000000002</v>
      </c>
      <c r="Q57" s="30">
        <v>0.34800000000000003</v>
      </c>
      <c r="R57" s="30">
        <v>53.604195040952263</v>
      </c>
      <c r="S57" s="30">
        <v>22.764813709210991</v>
      </c>
      <c r="T57" s="30">
        <v>46.395804959047737</v>
      </c>
      <c r="U57" s="30">
        <v>-1.5234534377414866</v>
      </c>
      <c r="V57" s="30">
        <v>-1.6381812969012173</v>
      </c>
      <c r="W57" s="30">
        <v>0.065834033149403684</v>
      </c>
      <c r="X57" s="30">
        <v>0.25</v>
      </c>
      <c r="Y57" s="97">
        <v>1.294</v>
      </c>
      <c r="Z57" s="30">
        <v>0.93450000000000011</v>
      </c>
      <c r="AA57" s="30">
        <v>0.35949999999999993</v>
      </c>
      <c r="AB57" s="30">
        <v>16.625942260205079</v>
      </c>
      <c r="AC57" s="30">
        <v>17.958009414398905</v>
      </c>
      <c r="AD57" s="30">
        <v>4</v>
      </c>
      <c r="AE57" s="30">
        <v>0.051500000000000004</v>
      </c>
      <c r="AF57" s="30">
        <v>4.0497289910033789</v>
      </c>
      <c r="AG57" s="30">
        <v>0.35399999999999998</v>
      </c>
      <c r="AH57" s="30">
        <v>0.1125</v>
      </c>
      <c r="AI57" s="30">
        <v>0.58050000000000002</v>
      </c>
      <c r="AJ57" s="30">
        <v>38.022272118947072</v>
      </c>
      <c r="AK57" s="30">
        <v>11.74800575372744</v>
      </c>
      <c r="AL57" s="30">
        <v>61.977727881052928</v>
      </c>
      <c r="AM57" s="30">
        <v>-1.5455780850133665</v>
      </c>
      <c r="AN57" s="30">
        <v>-1.5923762253683553</v>
      </c>
      <c r="AO57" s="30">
        <v>0.13018390349005232</v>
      </c>
      <c r="AP57" s="30">
        <v>0.75</v>
      </c>
      <c r="AQ57" s="30">
        <v>1.262</v>
      </c>
      <c r="AR57" s="30">
        <v>0.93149999999999999</v>
      </c>
      <c r="AS57" s="30">
        <v>0.33050000000000002</v>
      </c>
      <c r="AT57" s="30">
        <v>8.6375075320448218</v>
      </c>
      <c r="AU57" s="30">
        <v>9.3490820612154515</v>
      </c>
      <c r="AV57" s="30">
        <v>5</v>
      </c>
      <c r="AW57" s="30">
        <v>0.064000000000000001</v>
      </c>
      <c r="AX57" s="30">
        <v>5.1025550592715252</v>
      </c>
      <c r="AY57" s="30">
        <v>0.30449999999999999</v>
      </c>
      <c r="AZ57" s="30">
        <v>0.13650000000000001</v>
      </c>
      <c r="BA57" s="30">
        <v>0.627</v>
      </c>
      <c r="BB57" s="30">
        <v>32.335835248189113</v>
      </c>
      <c r="BC57" s="30">
        <v>14.734122099886159</v>
      </c>
      <c r="BD57" s="30">
        <v>67.664164751810887</v>
      </c>
      <c r="BE57" s="30">
        <v>-1.5217828924477108</v>
      </c>
      <c r="BF57" s="30">
        <v>-1.5218217354339512</v>
      </c>
      <c r="BG57" s="30">
        <v>0.057791577366359183</v>
      </c>
      <c r="BH57" s="30">
        <v>1.25</v>
      </c>
      <c r="BI57" s="30">
        <v>1.5965000000000003</v>
      </c>
      <c r="BJ57" s="30">
        <v>1.1625000000000001</v>
      </c>
      <c r="BK57" s="30">
        <v>0.43400000000000005</v>
      </c>
      <c r="BL57" s="30">
        <v>16.883314817271895</v>
      </c>
      <c r="BM57" s="30">
        <v>14.947141634266833</v>
      </c>
      <c r="BN57" s="30">
        <v>6</v>
      </c>
      <c r="BO57" s="30">
        <v>0.042999999999999997</v>
      </c>
      <c r="BP57" s="30">
        <v>6.0719814852269067</v>
      </c>
      <c r="BQ57" s="30">
        <v>0.46799999999999997</v>
      </c>
      <c r="BR57" s="30">
        <v>0.21300000000000002</v>
      </c>
      <c r="BS57" s="30">
        <v>0.69450000000000001</v>
      </c>
      <c r="BT57" s="30">
        <v>38.111998046636572</v>
      </c>
      <c r="BU57" s="30">
        <v>16.160409921382023</v>
      </c>
      <c r="BV57" s="30">
        <v>61.888001953363414</v>
      </c>
      <c r="BW57" s="30">
        <v>-1.5024163836778393</v>
      </c>
      <c r="BX57" s="30">
        <v>-1.5956744088192611</v>
      </c>
      <c r="BY57" s="30">
        <v>0.10494272200211734</v>
      </c>
      <c r="BZ57" s="30">
        <v>1.5</v>
      </c>
    </row>
    <row r="58" s="162" customFormat="1">
      <c r="A58" s="52" t="s">
        <v>138</v>
      </c>
      <c r="B58" s="52">
        <v>1</v>
      </c>
      <c r="C58" s="172">
        <v>9.0099999999999998</v>
      </c>
      <c r="D58" s="165">
        <v>-0.16974805699136453</v>
      </c>
      <c r="E58" s="49">
        <v>2.636108527507095</v>
      </c>
      <c r="F58" s="49">
        <v>0.017450327604794924</v>
      </c>
      <c r="G58" s="30">
        <v>1.4387500000000002</v>
      </c>
      <c r="H58" s="30">
        <v>0.873</v>
      </c>
      <c r="I58" s="30">
        <v>0.56575000000000009</v>
      </c>
      <c r="J58" s="30">
        <v>8.2680316056043477</v>
      </c>
      <c r="K58" s="30">
        <v>10.0541454924367</v>
      </c>
      <c r="L58" s="30">
        <v>3</v>
      </c>
      <c r="M58" s="30">
        <v>0.046249999999999999</v>
      </c>
      <c r="N58" s="30">
        <v>3.0428158837021786</v>
      </c>
      <c r="O58" s="30">
        <v>0.43950000000000006</v>
      </c>
      <c r="P58" s="30">
        <v>0.189</v>
      </c>
      <c r="Q58" s="30">
        <v>0.43350000000000011</v>
      </c>
      <c r="R58" s="30">
        <v>47.106450137565702</v>
      </c>
      <c r="S58" s="30">
        <v>20.08208489063616</v>
      </c>
      <c r="T58" s="30">
        <v>52.893549862434291</v>
      </c>
      <c r="U58" s="30">
        <v>-1.5710009491101475</v>
      </c>
      <c r="V58" s="30">
        <v>-1.6003766250720699</v>
      </c>
      <c r="W58" s="30">
        <v>0.048398389075942849</v>
      </c>
      <c r="X58" s="30">
        <v>0.5</v>
      </c>
      <c r="Y58" s="97">
        <v>3.2440000000000007</v>
      </c>
      <c r="Z58" s="30">
        <v>1.4415</v>
      </c>
      <c r="AA58" s="30">
        <v>1.8025000000000007</v>
      </c>
      <c r="AB58" s="30">
        <v>16.745196356453615</v>
      </c>
      <c r="AC58" s="30">
        <v>11.64342021821118</v>
      </c>
      <c r="AD58" s="30">
        <v>4</v>
      </c>
      <c r="AE58" s="30">
        <v>0.048499999999999995</v>
      </c>
      <c r="AF58" s="30">
        <v>4.0593366996239357</v>
      </c>
      <c r="AG58" s="30">
        <v>0.9375</v>
      </c>
      <c r="AH58" s="30">
        <v>0.50249999999999995</v>
      </c>
      <c r="AI58" s="30">
        <v>0.50400000000000011</v>
      </c>
      <c r="AJ58" s="30">
        <v>65.146014385144824</v>
      </c>
      <c r="AK58" s="30">
        <v>34.82786157338586</v>
      </c>
      <c r="AL58" s="30">
        <v>34.853985614855183</v>
      </c>
      <c r="AM58" s="30">
        <v>-1.697571167579514</v>
      </c>
      <c r="AN58" s="30">
        <v>-1.8747064293303215</v>
      </c>
      <c r="AO58" s="30">
        <v>0.15126066730267182</v>
      </c>
      <c r="AP58" s="30">
        <v>1</v>
      </c>
      <c r="AQ58" s="30">
        <v>1.10975</v>
      </c>
      <c r="AR58" s="30">
        <v>0.87600000000000011</v>
      </c>
      <c r="AS58" s="30">
        <v>0.23374999999999999</v>
      </c>
      <c r="AT58" s="30">
        <v>8.6224736170399403</v>
      </c>
      <c r="AU58" s="30">
        <v>10.146305120063106</v>
      </c>
      <c r="AV58" s="30">
        <v>5</v>
      </c>
      <c r="AW58" s="30">
        <v>0.03925</v>
      </c>
      <c r="AX58" s="30">
        <v>5.1057001007633565</v>
      </c>
      <c r="AY58" s="30">
        <v>0.40350000000000008</v>
      </c>
      <c r="AZ58" s="30">
        <v>0.11400000000000002</v>
      </c>
      <c r="BA58" s="30">
        <v>0.47250000000000003</v>
      </c>
      <c r="BB58" s="30">
        <v>46.104699023774167</v>
      </c>
      <c r="BC58" s="30">
        <v>12.806369164750667</v>
      </c>
      <c r="BD58" s="30">
        <v>53.89530097622584</v>
      </c>
      <c r="BE58" s="30">
        <v>-1.6230609113458843</v>
      </c>
      <c r="BF58" s="30">
        <v>-1.6845662259664933</v>
      </c>
      <c r="BG58" s="30">
        <v>0.053785063015045508</v>
      </c>
      <c r="BH58" s="30">
        <v>0.33333333333333331</v>
      </c>
      <c r="BI58" s="30">
        <v>1.6500000000000004</v>
      </c>
      <c r="BJ58" s="30">
        <v>1.3560000000000001</v>
      </c>
      <c r="BK58" s="30">
        <v>0.29400000000000004</v>
      </c>
      <c r="BL58" s="30">
        <v>16.78029335661898</v>
      </c>
      <c r="BM58" s="30">
        <v>13.016987010977227</v>
      </c>
      <c r="BN58" s="30">
        <v>6</v>
      </c>
      <c r="BO58" s="30">
        <v>0.067500000000000004</v>
      </c>
      <c r="BP58" s="30">
        <v>6.0659005771109289</v>
      </c>
      <c r="BQ58" s="30">
        <v>0.67349999999999999</v>
      </c>
      <c r="BR58" s="30">
        <v>0.37650000000000006</v>
      </c>
      <c r="BS58" s="30">
        <v>0.68250000000000011</v>
      </c>
      <c r="BT58" s="30">
        <v>48.127788738412264</v>
      </c>
      <c r="BU58" s="30">
        <v>24.258463450551716</v>
      </c>
      <c r="BV58" s="30">
        <v>51.872211261587736</v>
      </c>
      <c r="BW58" s="30">
        <v>-1.6350154603720874</v>
      </c>
      <c r="BX58" s="30">
        <v>-1.7624366748358669</v>
      </c>
      <c r="BY58" s="30">
        <v>0.058779568506108659</v>
      </c>
      <c r="BZ58" s="30">
        <v>1.25</v>
      </c>
    </row>
    <row r="59">
      <c r="A59" s="42" t="s">
        <v>139</v>
      </c>
      <c r="B59" s="43">
        <v>2</v>
      </c>
      <c r="C59" s="98">
        <v>9.0199999999999996</v>
      </c>
      <c r="D59" s="120">
        <v>0.17012290267086413</v>
      </c>
      <c r="E59" s="30">
        <v>0.26839181495836273</v>
      </c>
      <c r="F59" s="30">
        <v>0.59214670460584129</v>
      </c>
      <c r="G59" s="30">
        <v>0.78875000000000006</v>
      </c>
      <c r="H59" s="30">
        <v>0.71100000000000008</v>
      </c>
      <c r="I59" s="30">
        <v>0.07775</v>
      </c>
      <c r="J59" s="30">
        <v>8.0057421915507447</v>
      </c>
      <c r="K59" s="30">
        <v>11.328689078899027</v>
      </c>
      <c r="L59" s="30">
        <v>3</v>
      </c>
      <c r="M59" s="30">
        <v>0.048250000000000001</v>
      </c>
      <c r="N59" s="30">
        <v>2.9952010790984236</v>
      </c>
      <c r="O59" s="30">
        <v>0.35700000000000004</v>
      </c>
      <c r="P59" s="30">
        <v>0.2535</v>
      </c>
      <c r="Q59" s="30">
        <v>0.35400000000000004</v>
      </c>
      <c r="R59" s="30">
        <v>49.439039759634738</v>
      </c>
      <c r="S59" s="30">
        <v>34.888289590124451</v>
      </c>
      <c r="T59" s="30">
        <v>50.560960240365262</v>
      </c>
      <c r="U59" s="30">
        <v>-1.5720921734608295</v>
      </c>
      <c r="V59" s="30">
        <v>-1.5751810892824163</v>
      </c>
      <c r="W59" s="30">
        <v>0.069684734796162162</v>
      </c>
      <c r="X59" s="30">
        <v>0</v>
      </c>
      <c r="Y59" s="97">
        <v>1.0140000000000002</v>
      </c>
      <c r="Z59" s="30">
        <v>0.95550000000000013</v>
      </c>
      <c r="AA59" s="30">
        <v>0.058499999999999996</v>
      </c>
      <c r="AB59" s="30">
        <v>16.979763888447685</v>
      </c>
      <c r="AC59" s="30">
        <v>18.005164693559003</v>
      </c>
      <c r="AD59" s="30">
        <v>4</v>
      </c>
      <c r="AE59" s="30">
        <v>0.040500000000000001</v>
      </c>
      <c r="AF59" s="30">
        <v>4.0827979049934955</v>
      </c>
      <c r="AG59" s="30">
        <v>0.57150000000000001</v>
      </c>
      <c r="AH59" s="30">
        <v>0.36899999999999999</v>
      </c>
      <c r="AI59" s="30">
        <v>0.38400000000000001</v>
      </c>
      <c r="AJ59" s="30">
        <v>58.986082355647582</v>
      </c>
      <c r="AK59" s="30">
        <v>37.351621808143541</v>
      </c>
      <c r="AL59" s="30">
        <v>41.013917644352425</v>
      </c>
      <c r="AM59" s="30">
        <v>-1.4775723265481884</v>
      </c>
      <c r="AN59" s="30">
        <v>-1.7240490828419088</v>
      </c>
      <c r="AO59" s="30">
        <v>0.1400077212550972</v>
      </c>
      <c r="AP59" s="30">
        <v>0</v>
      </c>
      <c r="AQ59" s="30">
        <v>0.98975000000000013</v>
      </c>
      <c r="AR59" s="30">
        <v>0.90600000000000003</v>
      </c>
      <c r="AS59" s="30">
        <v>0.023750000000000007</v>
      </c>
      <c r="AT59" s="30">
        <v>8.8480350415213067</v>
      </c>
      <c r="AU59" s="30">
        <v>10.047492793084825</v>
      </c>
      <c r="AV59" s="30">
        <v>5</v>
      </c>
      <c r="AW59" s="30">
        <v>0.07375000000000001</v>
      </c>
      <c r="AX59" s="30">
        <v>5.1538126179648822</v>
      </c>
      <c r="AY59" s="30">
        <v>0.48449999999999999</v>
      </c>
      <c r="AZ59" s="30">
        <v>0.23400000000000004</v>
      </c>
      <c r="BA59" s="30">
        <v>0.46800000000000003</v>
      </c>
      <c r="BB59" s="30">
        <v>49.155601330009546</v>
      </c>
      <c r="BC59" s="30">
        <v>23.548200034526417</v>
      </c>
      <c r="BD59" s="30">
        <v>50.844398669990447</v>
      </c>
      <c r="BE59" s="30">
        <v>-1.5333037136922953</v>
      </c>
      <c r="BF59" s="30">
        <v>-1.6590982526687188</v>
      </c>
      <c r="BG59" s="30">
        <v>0.095545018772711307</v>
      </c>
      <c r="BH59" s="30">
        <v>1</v>
      </c>
      <c r="BI59" s="30">
        <v>1.3970000000000002</v>
      </c>
      <c r="BJ59" s="30">
        <v>1.2140000000000002</v>
      </c>
      <c r="BK59" s="30">
        <v>0.128</v>
      </c>
      <c r="BL59" s="30">
        <v>16.853875431523203</v>
      </c>
      <c r="BM59" s="30">
        <v>14.095134574643559</v>
      </c>
      <c r="BN59" s="30">
        <v>6</v>
      </c>
      <c r="BO59" s="30">
        <v>0.035500000000000004</v>
      </c>
      <c r="BP59" s="30">
        <v>6.0839630011718242</v>
      </c>
      <c r="BQ59" s="30">
        <v>0.59699999999999998</v>
      </c>
      <c r="BR59" s="30">
        <v>0.27900000000000003</v>
      </c>
      <c r="BS59" s="30">
        <v>0.66600000000000004</v>
      </c>
      <c r="BT59" s="30">
        <v>47.234528530242372</v>
      </c>
      <c r="BU59" s="30">
        <v>21.113026846129145</v>
      </c>
      <c r="BV59" s="30">
        <v>52.765471469757621</v>
      </c>
      <c r="BW59" s="30">
        <v>-1.5241645058988866</v>
      </c>
      <c r="BX59" s="30">
        <v>-1.6975579285147933</v>
      </c>
      <c r="BY59" s="30">
        <v>0.16693527587923893</v>
      </c>
      <c r="BZ59" s="30">
        <v>2</v>
      </c>
    </row>
    <row r="60" s="162" customFormat="1">
      <c r="A60" s="52" t="s">
        <v>138</v>
      </c>
      <c r="B60" s="52">
        <v>1</v>
      </c>
      <c r="C60" s="172">
        <v>9.0199999999999996</v>
      </c>
      <c r="D60" s="165">
        <v>0.1279623900393746</v>
      </c>
      <c r="E60" s="49">
        <v>0.44815181856946834</v>
      </c>
      <c r="F60" s="49">
        <v>0.51990684977336898</v>
      </c>
      <c r="G60" s="30">
        <v>0.89800000000000002</v>
      </c>
      <c r="H60" s="30">
        <v>0.42599999999999999</v>
      </c>
      <c r="I60" s="30">
        <v>0.48850000000000005</v>
      </c>
      <c r="J60" s="30">
        <v>8.9484649763315431</v>
      </c>
      <c r="K60" s="30">
        <v>21.160150822426662</v>
      </c>
      <c r="L60" s="30">
        <v>3</v>
      </c>
      <c r="M60" s="30">
        <v>0.057500000000000009</v>
      </c>
      <c r="N60" s="30">
        <v>3.1792596793447032</v>
      </c>
      <c r="O60" s="30">
        <v>0.183</v>
      </c>
      <c r="P60" s="30">
        <v>0.076500000000000012</v>
      </c>
      <c r="Q60" s="30">
        <v>0.246</v>
      </c>
      <c r="R60" s="30">
        <v>45.2655315698794</v>
      </c>
      <c r="S60" s="30">
        <v>18.893280632411066</v>
      </c>
      <c r="T60" s="30">
        <v>54.734468430120614</v>
      </c>
      <c r="U60" s="30">
        <v>-1.4066909538703967</v>
      </c>
      <c r="V60" s="30">
        <v>-1.3887106517506584</v>
      </c>
      <c r="W60" s="30">
        <v>0.1414232257515213</v>
      </c>
      <c r="X60" s="30">
        <v>0</v>
      </c>
      <c r="Y60" s="97">
        <v>0.96050000000000002</v>
      </c>
      <c r="Z60" s="30">
        <v>0.441</v>
      </c>
      <c r="AA60" s="30">
        <v>0.51950000000000007</v>
      </c>
      <c r="AB60" s="30">
        <v>16.921554407378171</v>
      </c>
      <c r="AC60" s="30">
        <v>38.87142120366228</v>
      </c>
      <c r="AD60" s="30">
        <v>4</v>
      </c>
      <c r="AE60" s="30">
        <v>0.078999999999999987</v>
      </c>
      <c r="AF60" s="30">
        <v>4.0777669869053339</v>
      </c>
      <c r="AG60" s="30">
        <v>0.20100000000000001</v>
      </c>
      <c r="AH60" s="30">
        <v>0.092999999999999999</v>
      </c>
      <c r="AI60" s="30">
        <v>0.23999999999999999</v>
      </c>
      <c r="AJ60" s="30">
        <v>46.066512389973212</v>
      </c>
      <c r="AK60" s="30">
        <v>21.237855898674052</v>
      </c>
      <c r="AL60" s="30">
        <v>53.933487610026781</v>
      </c>
      <c r="AM60" s="30">
        <v>-1.4163148410411437</v>
      </c>
      <c r="AN60" s="30">
        <v>-1.4144863082473622</v>
      </c>
      <c r="AO60" s="30">
        <v>0.08988972169570017</v>
      </c>
      <c r="AP60" s="30">
        <v>0</v>
      </c>
      <c r="AQ60" s="30">
        <v>0.98225000000000018</v>
      </c>
      <c r="AR60" s="30">
        <v>0.55800000000000005</v>
      </c>
      <c r="AS60" s="30">
        <v>0.52475000000000005</v>
      </c>
      <c r="AT60" s="30">
        <v>9.0427239742349244</v>
      </c>
      <c r="AU60" s="30">
        <v>17.0985764884568</v>
      </c>
      <c r="AV60" s="30">
        <v>5</v>
      </c>
      <c r="AW60" s="30">
        <v>0.03175</v>
      </c>
      <c r="AX60" s="30">
        <v>5.2097862858672563</v>
      </c>
      <c r="AY60" s="30">
        <v>0.20550000000000002</v>
      </c>
      <c r="AZ60" s="30">
        <v>0.070500000000000007</v>
      </c>
      <c r="BA60" s="30">
        <v>0.32100000000000001</v>
      </c>
      <c r="BB60" s="30">
        <v>45.494944306806055</v>
      </c>
      <c r="BC60" s="30">
        <v>16.590231198931122</v>
      </c>
      <c r="BD60" s="30">
        <v>54.505055693193945</v>
      </c>
      <c r="BE60" s="30">
        <v>-1.4525132513726804</v>
      </c>
      <c r="BF60" s="30">
        <v>-1.4415044120341378</v>
      </c>
      <c r="BG60" s="30">
        <v>0.13670759240735519</v>
      </c>
      <c r="BH60" s="30">
        <v>0.25</v>
      </c>
      <c r="BI60" s="30">
        <v>1.3325</v>
      </c>
      <c r="BJ60" s="30">
        <v>0.66000000000000003</v>
      </c>
      <c r="BK60" s="30">
        <v>0.82400000000000007</v>
      </c>
      <c r="BL60" s="30">
        <v>17.024698049765501</v>
      </c>
      <c r="BM60" s="30">
        <v>25.794997045099244</v>
      </c>
      <c r="BN60" s="30">
        <v>6</v>
      </c>
      <c r="BO60" s="30">
        <v>0.029499999999999998</v>
      </c>
      <c r="BP60" s="30">
        <v>6.1374247851552957</v>
      </c>
      <c r="BQ60" s="30">
        <v>0.23400000000000004</v>
      </c>
      <c r="BR60" s="30">
        <v>0.129</v>
      </c>
      <c r="BS60" s="30">
        <v>0.41400000000000003</v>
      </c>
      <c r="BT60" s="30">
        <v>46.951939344180722</v>
      </c>
      <c r="BU60" s="30">
        <v>26.16388640095537</v>
      </c>
      <c r="BV60" s="30">
        <v>53.048060655819278</v>
      </c>
      <c r="BW60" s="30">
        <v>-1.4067691422222692</v>
      </c>
      <c r="BX60" s="30">
        <v>-1.4328439147786298</v>
      </c>
      <c r="BY60" s="30">
        <v>0.14052636173063476</v>
      </c>
      <c r="BZ60" s="30">
        <v>0.25</v>
      </c>
    </row>
    <row r="61" s="162" customFormat="1">
      <c r="A61" s="52" t="s">
        <v>138</v>
      </c>
      <c r="B61" s="52">
        <v>1</v>
      </c>
      <c r="C61" s="166">
        <v>9.0299999999999994</v>
      </c>
      <c r="D61" s="165">
        <v>-0.0012455493052446894</v>
      </c>
      <c r="E61" s="49">
        <v>1.440302369137348</v>
      </c>
      <c r="F61" s="49">
        <v>1.1713088039932984e-05</v>
      </c>
      <c r="G61" s="30">
        <v>1.5917500000000002</v>
      </c>
      <c r="H61" s="30">
        <v>0.88200000000000001</v>
      </c>
      <c r="I61" s="30">
        <v>0.70974999999999999</v>
      </c>
      <c r="J61" s="30">
        <v>8.9322411843615601</v>
      </c>
      <c r="K61" s="30">
        <v>11.338879777853133</v>
      </c>
      <c r="L61" s="30">
        <v>3</v>
      </c>
      <c r="M61" s="30">
        <v>0.047750000000000001</v>
      </c>
      <c r="N61" s="30">
        <v>3.1327834270066353</v>
      </c>
      <c r="O61" s="30">
        <v>0.36450000000000005</v>
      </c>
      <c r="P61" s="30">
        <v>0.2505</v>
      </c>
      <c r="Q61" s="30">
        <v>0.51750000000000007</v>
      </c>
      <c r="R61" s="30">
        <v>39.494082072571949</v>
      </c>
      <c r="S61" s="30">
        <v>24.810287014490438</v>
      </c>
      <c r="T61" s="30">
        <v>60.505917927428058</v>
      </c>
      <c r="U61" s="30">
        <v>-1.5439003258263182</v>
      </c>
      <c r="V61" s="30">
        <v>-1.697752947722887</v>
      </c>
      <c r="W61" s="30">
        <v>0.12831606388041966</v>
      </c>
      <c r="X61" s="30">
        <v>1.5</v>
      </c>
      <c r="Y61" s="97">
        <v>1.2965000000000002</v>
      </c>
      <c r="Z61" s="30">
        <v>0.84300000000000019</v>
      </c>
      <c r="AA61" s="30">
        <v>0.45350000000000001</v>
      </c>
      <c r="AB61" s="30">
        <v>17.171189622628937</v>
      </c>
      <c r="AC61" s="30">
        <v>20.565497018992886</v>
      </c>
      <c r="AD61" s="30">
        <v>4</v>
      </c>
      <c r="AE61" s="30">
        <v>0.055000000000000007</v>
      </c>
      <c r="AF61" s="30">
        <v>4.0952299618422501</v>
      </c>
      <c r="AG61" s="30">
        <v>0.39750000000000002</v>
      </c>
      <c r="AH61" s="30">
        <v>0.10200000000000002</v>
      </c>
      <c r="AI61" s="30">
        <v>0.44550000000000001</v>
      </c>
      <c r="AJ61" s="30">
        <v>47.285202458710785</v>
      </c>
      <c r="AK61" s="30">
        <v>11.888743254322122</v>
      </c>
      <c r="AL61" s="30">
        <v>52.714797541289215</v>
      </c>
      <c r="AM61" s="30">
        <v>-1.5452306862051888</v>
      </c>
      <c r="AN61" s="30">
        <v>-1.6175634141553608</v>
      </c>
      <c r="AO61" s="30">
        <v>0.21312043655257701</v>
      </c>
      <c r="AP61" s="30">
        <v>0.5</v>
      </c>
      <c r="AQ61" s="30">
        <v>1.2385000000000002</v>
      </c>
      <c r="AR61" s="30">
        <v>0.8145</v>
      </c>
      <c r="AS61" s="30">
        <v>0.42400000000000004</v>
      </c>
      <c r="AT61" s="30">
        <v>9.1739173536406806</v>
      </c>
      <c r="AU61" s="30">
        <v>11.959571950697224</v>
      </c>
      <c r="AV61" s="30">
        <v>5</v>
      </c>
      <c r="AW61" s="30">
        <v>0.047</v>
      </c>
      <c r="AX61" s="30">
        <v>5.1347559726169543</v>
      </c>
      <c r="AY61" s="30">
        <v>0.19800000000000001</v>
      </c>
      <c r="AZ61" s="30">
        <v>0.084000000000000005</v>
      </c>
      <c r="BA61" s="30">
        <v>0.61650000000000005</v>
      </c>
      <c r="BB61" s="30">
        <v>26.281172603767111</v>
      </c>
      <c r="BC61" s="30">
        <v>11.487481349531835</v>
      </c>
      <c r="BD61" s="30">
        <v>73.718827396232896</v>
      </c>
      <c r="BE61" s="30">
        <v>-1.4893307450715063</v>
      </c>
      <c r="BF61" s="30">
        <v>-1.4072163251435954</v>
      </c>
      <c r="BG61" s="30">
        <v>0.1684924268208669</v>
      </c>
      <c r="BH61" s="30">
        <v>1.5</v>
      </c>
      <c r="BI61" s="30">
        <v>1.6115000000000002</v>
      </c>
      <c r="BJ61" s="30">
        <v>1.2075</v>
      </c>
      <c r="BK61" s="30">
        <v>0.40400000000000003</v>
      </c>
      <c r="BL61" s="30">
        <v>16.900035897337517</v>
      </c>
      <c r="BM61" s="30">
        <v>15.007770978471632</v>
      </c>
      <c r="BN61" s="30">
        <v>6</v>
      </c>
      <c r="BO61" s="30">
        <v>0.056500000000000009</v>
      </c>
      <c r="BP61" s="30">
        <v>6.0704443641689352</v>
      </c>
      <c r="BQ61" s="30">
        <v>0.41249999999999998</v>
      </c>
      <c r="BR61" s="30">
        <v>0.21600000000000003</v>
      </c>
      <c r="BS61" s="30">
        <v>0.79500000000000015</v>
      </c>
      <c r="BT61" s="30">
        <v>33.317230134462434</v>
      </c>
      <c r="BU61" s="30">
        <v>15.650784760636114</v>
      </c>
      <c r="BV61" s="30">
        <v>66.682769865537566</v>
      </c>
      <c r="BW61" s="30">
        <v>-1.5482271983210225</v>
      </c>
      <c r="BX61" s="30">
        <v>-1.6065585029124407</v>
      </c>
      <c r="BY61" s="30">
        <v>0.14782660955829846</v>
      </c>
      <c r="BZ61" s="30">
        <v>1.75</v>
      </c>
    </row>
    <row r="62">
      <c r="A62" s="43" t="s">
        <v>139</v>
      </c>
      <c r="B62" s="43">
        <v>1</v>
      </c>
      <c r="C62" s="126">
        <v>9.0399999999999991</v>
      </c>
      <c r="D62" s="120">
        <v>0.20508585229360116</v>
      </c>
      <c r="E62" s="30">
        <v>0.6737332570262099</v>
      </c>
      <c r="F62" s="30">
        <v>0.3181659687888504</v>
      </c>
      <c r="G62" s="30">
        <v>1.3322499999999999</v>
      </c>
      <c r="H62" s="30">
        <v>1.1520000000000001</v>
      </c>
      <c r="I62" s="30">
        <v>0.18025000000000002</v>
      </c>
      <c r="J62" s="30">
        <v>10.841000726394713</v>
      </c>
      <c r="K62" s="30">
        <v>10.091040616049842</v>
      </c>
      <c r="L62" s="30">
        <v>3</v>
      </c>
      <c r="M62" s="30">
        <v>0.083749999999999991</v>
      </c>
      <c r="N62" s="30">
        <v>3.019396432006098</v>
      </c>
      <c r="O62" s="30">
        <v>0.47400000000000003</v>
      </c>
      <c r="P62" s="30">
        <v>0.30599999999999999</v>
      </c>
      <c r="Q62" s="30">
        <v>0.67799999999999994</v>
      </c>
      <c r="R62" s="30">
        <v>43.76073465060837</v>
      </c>
      <c r="S62" s="30">
        <v>21.955954556942871</v>
      </c>
      <c r="T62" s="30">
        <v>56.23926534939163</v>
      </c>
      <c r="U62" s="30">
        <v>-1.7954864788624867</v>
      </c>
      <c r="V62" s="30">
        <v>-1.707590129897715</v>
      </c>
      <c r="W62" s="30">
        <v>0.14357070394687751</v>
      </c>
      <c r="X62" s="30">
        <v>1.5</v>
      </c>
      <c r="Y62" s="97">
        <v>1.4755000000000003</v>
      </c>
      <c r="Z62" s="30">
        <v>1.242</v>
      </c>
      <c r="AA62" s="30">
        <v>0.23349999999999999</v>
      </c>
      <c r="AB62" s="30">
        <v>16.699074593949188</v>
      </c>
      <c r="AC62" s="30">
        <v>13.938210491463551</v>
      </c>
      <c r="AD62" s="30">
        <v>4</v>
      </c>
      <c r="AE62" s="30">
        <v>0.062</v>
      </c>
      <c r="AF62" s="30">
        <v>4.0529751360609616</v>
      </c>
      <c r="AG62" s="30">
        <v>0.63000000000000012</v>
      </c>
      <c r="AH62" s="30">
        <v>0.378</v>
      </c>
      <c r="AI62" s="30">
        <v>0.6120000000000001</v>
      </c>
      <c r="AJ62" s="30">
        <v>50.244766997708176</v>
      </c>
      <c r="AK62" s="30">
        <v>28.366322482072007</v>
      </c>
      <c r="AL62" s="30">
        <v>49.755233002291831</v>
      </c>
      <c r="AM62" s="30">
        <v>-1.5382123436400559</v>
      </c>
      <c r="AN62" s="30">
        <v>-1.6575798117351355</v>
      </c>
      <c r="AO62" s="30">
        <v>0.22199973937937889</v>
      </c>
      <c r="AP62" s="30">
        <v>1</v>
      </c>
      <c r="AQ62" s="30">
        <v>1.6477499999999998</v>
      </c>
      <c r="AR62" s="30">
        <v>1.1819999999999999</v>
      </c>
      <c r="AS62" s="30">
        <v>0.46575000000000005</v>
      </c>
      <c r="AT62" s="30">
        <v>8.5018792290108038</v>
      </c>
      <c r="AU62" s="30">
        <v>7.252955094834884</v>
      </c>
      <c r="AV62" s="30">
        <v>5</v>
      </c>
      <c r="AW62" s="30">
        <v>0.056250000000000001</v>
      </c>
      <c r="AX62" s="30">
        <v>5.0746498043384323</v>
      </c>
      <c r="AY62" s="30">
        <v>0.51900000000000013</v>
      </c>
      <c r="AZ62" s="30">
        <v>0.16050000000000003</v>
      </c>
      <c r="BA62" s="30">
        <v>0.66300000000000003</v>
      </c>
      <c r="BB62" s="30">
        <v>44.820739763429629</v>
      </c>
      <c r="BC62" s="30">
        <v>14.018901807720146</v>
      </c>
      <c r="BD62" s="30">
        <v>55.179260236570371</v>
      </c>
      <c r="BE62" s="30">
        <v>-1.6055219651898482</v>
      </c>
      <c r="BF62" s="30">
        <v>-1.7179188676476873</v>
      </c>
      <c r="BG62" s="30">
        <v>0.12163511924683779</v>
      </c>
      <c r="BH62" s="30">
        <v>1.25</v>
      </c>
      <c r="BI62" s="30">
        <v>1.9715000000000003</v>
      </c>
      <c r="BJ62" s="30">
        <v>1.653</v>
      </c>
      <c r="BK62" s="30">
        <v>0.31850000000000001</v>
      </c>
      <c r="BL62" s="30">
        <v>17.245604814986091</v>
      </c>
      <c r="BM62" s="30">
        <v>10.61811524996882</v>
      </c>
      <c r="BN62" s="30">
        <v>6</v>
      </c>
      <c r="BO62" s="30">
        <v>0.040000000000000001</v>
      </c>
      <c r="BP62" s="30">
        <v>6.0505623719491899</v>
      </c>
      <c r="BQ62" s="30">
        <v>0.76950000000000007</v>
      </c>
      <c r="BR62" s="30">
        <v>0.44850000000000001</v>
      </c>
      <c r="BS62" s="30">
        <v>0.88350000000000006</v>
      </c>
      <c r="BT62" s="30">
        <v>47.661656001904966</v>
      </c>
      <c r="BU62" s="30">
        <v>26.108875564269759</v>
      </c>
      <c r="BV62" s="30">
        <v>52.338343998095034</v>
      </c>
      <c r="BW62" s="30">
        <v>-1.7143872720027169</v>
      </c>
      <c r="BX62" s="30">
        <v>-1.7876067913246954</v>
      </c>
      <c r="BY62" s="30">
        <v>0.22347018964056775</v>
      </c>
      <c r="BZ62" s="30">
        <v>2.75</v>
      </c>
    </row>
    <row r="63">
      <c r="A63" s="43" t="s">
        <v>139</v>
      </c>
      <c r="B63" s="43">
        <v>1</v>
      </c>
      <c r="C63" s="126">
        <v>9.0600000000000005</v>
      </c>
      <c r="D63" s="120">
        <v>0.24198494513664451</v>
      </c>
      <c r="E63" s="30">
        <v>1.2452506013528168</v>
      </c>
      <c r="F63" s="30">
        <v>0.088613392103881972</v>
      </c>
      <c r="G63" s="30">
        <v>2.1684999999999999</v>
      </c>
      <c r="H63" s="30">
        <v>1.9454999999999998</v>
      </c>
      <c r="I63" s="30">
        <v>0.223</v>
      </c>
      <c r="J63" s="30">
        <v>8.9695365547972941</v>
      </c>
      <c r="K63" s="30">
        <v>5.6074242069532438</v>
      </c>
      <c r="L63" s="30">
        <v>3</v>
      </c>
      <c r="M63" s="30">
        <v>0.080000000000000002</v>
      </c>
      <c r="N63" s="30">
        <v>3.0585024607896951</v>
      </c>
      <c r="O63" s="30">
        <v>0.66300000000000003</v>
      </c>
      <c r="P63" s="30">
        <v>0.91650000000000009</v>
      </c>
      <c r="Q63" s="30">
        <v>1.2825</v>
      </c>
      <c r="R63" s="30">
        <v>39.755713607605806</v>
      </c>
      <c r="S63" s="30">
        <v>37.262524330250685</v>
      </c>
      <c r="T63" s="30">
        <v>60.244286392394187</v>
      </c>
      <c r="U63" s="30">
        <v>-1.8820262153345113</v>
      </c>
      <c r="V63" s="30">
        <v>-1.6842052752819909</v>
      </c>
      <c r="W63" s="30">
        <v>0.12614848815973001</v>
      </c>
      <c r="X63" s="30">
        <v>3.6666666666666665</v>
      </c>
      <c r="Y63" s="97">
        <v>2.3129999999999997</v>
      </c>
      <c r="Z63" s="30">
        <v>1.9305000000000003</v>
      </c>
      <c r="AA63" s="30">
        <v>0.38250000000000006</v>
      </c>
      <c r="AB63" s="30">
        <v>17.006686080303862</v>
      </c>
      <c r="AC63" s="30">
        <v>9.5495623973794252</v>
      </c>
      <c r="AD63" s="30">
        <v>4</v>
      </c>
      <c r="AE63" s="30">
        <v>0.055500000000000008</v>
      </c>
      <c r="AF63" s="30">
        <v>4.0814975513395071</v>
      </c>
      <c r="AG63" s="30">
        <v>0.95100000000000018</v>
      </c>
      <c r="AH63" s="30">
        <v>0.38850000000000007</v>
      </c>
      <c r="AI63" s="30">
        <v>0.97950000000000015</v>
      </c>
      <c r="AJ63" s="30">
        <v>48.870625264647636</v>
      </c>
      <c r="AK63" s="30">
        <v>21.6292258622586</v>
      </c>
      <c r="AL63" s="30">
        <v>51.129374735352371</v>
      </c>
      <c r="AM63" s="30">
        <v>-1.7058510088103436</v>
      </c>
      <c r="AN63" s="30">
        <v>-1.7477905939156642</v>
      </c>
      <c r="AO63" s="30">
        <v>0.12005630608646382</v>
      </c>
      <c r="AP63" s="30">
        <v>2.25</v>
      </c>
      <c r="AQ63" s="30">
        <v>1.6777500000000003</v>
      </c>
      <c r="AR63" s="30">
        <v>1.3499999999999999</v>
      </c>
      <c r="AS63" s="30">
        <v>0.33825000000000005</v>
      </c>
      <c r="AT63" s="30">
        <v>8.669803645429587</v>
      </c>
      <c r="AU63" s="30">
        <v>6.5268574671433299</v>
      </c>
      <c r="AV63" s="30">
        <v>5</v>
      </c>
      <c r="AW63" s="30">
        <v>0.045750000000000006</v>
      </c>
      <c r="AX63" s="30">
        <v>5.1242151731101311</v>
      </c>
      <c r="AY63" s="30">
        <v>0.42750000000000005</v>
      </c>
      <c r="AZ63" s="30">
        <v>0.16200000000000001</v>
      </c>
      <c r="BA63" s="30">
        <v>0.91600000000000004</v>
      </c>
      <c r="BB63" s="30">
        <v>33.265164672677038</v>
      </c>
      <c r="BC63" s="30">
        <v>12.996491207572429</v>
      </c>
      <c r="BD63" s="30">
        <v>66.734835327322969</v>
      </c>
      <c r="BE63" s="30">
        <v>-1.7002476574163843</v>
      </c>
      <c r="BF63" s="30">
        <v>-1.6479504478512559</v>
      </c>
      <c r="BG63" s="30">
        <v>0.11753026670981796</v>
      </c>
      <c r="BH63" s="30">
        <v>2</v>
      </c>
      <c r="BI63" s="30">
        <v>3.3960000000000004</v>
      </c>
      <c r="BJ63" s="30">
        <v>2.7120000000000002</v>
      </c>
      <c r="BK63" s="30">
        <v>0.68400000000000005</v>
      </c>
      <c r="BL63" s="30">
        <v>17.042358447221716</v>
      </c>
      <c r="BM63" s="30">
        <v>6.5341069092361019</v>
      </c>
      <c r="BN63" s="30">
        <v>6</v>
      </c>
      <c r="BO63" s="30">
        <v>0.037750000000000006</v>
      </c>
      <c r="BP63" s="30">
        <v>6.0765261422094659</v>
      </c>
      <c r="BQ63" s="30">
        <v>0.92400000000000004</v>
      </c>
      <c r="BR63" s="30">
        <v>0.68800000000000006</v>
      </c>
      <c r="BS63" s="30">
        <v>1.788</v>
      </c>
      <c r="BT63" s="30">
        <v>33.933766735139791</v>
      </c>
      <c r="BU63" s="30">
        <v>25.22972915350887</v>
      </c>
      <c r="BV63" s="30">
        <v>66.066233264860202</v>
      </c>
      <c r="BW63" s="30">
        <v>-1.7079293113370406</v>
      </c>
      <c r="BX63" s="30">
        <v>-1.8160048889207969</v>
      </c>
      <c r="BY63" s="30">
        <v>0.12600696865607156</v>
      </c>
      <c r="BZ63" s="30">
        <v>5</v>
      </c>
    </row>
    <row r="64" s="162" customFormat="1">
      <c r="A64" s="52" t="s">
        <v>138</v>
      </c>
      <c r="B64" s="52">
        <v>1</v>
      </c>
      <c r="C64" s="166">
        <v>9.0600000000000005</v>
      </c>
      <c r="D64" s="165">
        <v>0.1214820223328619</v>
      </c>
      <c r="E64" s="49">
        <v>0.35494549741342629</v>
      </c>
      <c r="F64" s="49">
        <v>0.61854726648402258</v>
      </c>
      <c r="G64" s="30">
        <v>0.74175000000000002</v>
      </c>
      <c r="H64" s="30">
        <v>0.54600000000000004</v>
      </c>
      <c r="I64" s="30">
        <v>0.19575000000000001</v>
      </c>
      <c r="J64" s="30">
        <v>8.5167355807542791</v>
      </c>
      <c r="K64" s="30">
        <v>16.413494886916169</v>
      </c>
      <c r="L64" s="30">
        <v>3</v>
      </c>
      <c r="M64" s="30">
        <v>0.063750000000000001</v>
      </c>
      <c r="N64" s="30">
        <v>3.0822779171876942</v>
      </c>
      <c r="O64" s="30">
        <v>0.22949999999999998</v>
      </c>
      <c r="P64" s="30">
        <v>0.10500000000000001</v>
      </c>
      <c r="Q64" s="30">
        <v>0.3165</v>
      </c>
      <c r="R64" s="30">
        <v>44.34761653297123</v>
      </c>
      <c r="S64" s="30">
        <v>19.584775763265462</v>
      </c>
      <c r="T64" s="30">
        <v>55.65238346702877</v>
      </c>
      <c r="U64" s="30">
        <v>-1.5489520799827705</v>
      </c>
      <c r="V64" s="30">
        <v>-1.434117709395943</v>
      </c>
      <c r="W64" s="30">
        <v>0.081273976057426811</v>
      </c>
      <c r="X64" s="30">
        <v>0.25</v>
      </c>
      <c r="Y64" s="97">
        <v>0.8523333333333335</v>
      </c>
      <c r="Z64" s="30">
        <v>0.71099999999999997</v>
      </c>
      <c r="AA64" s="30">
        <v>0.11633333333333333</v>
      </c>
      <c r="AB64" s="30">
        <v>16.044939443285394</v>
      </c>
      <c r="AC64" s="30">
        <v>22.846071426152736</v>
      </c>
      <c r="AD64" s="30">
        <v>4</v>
      </c>
      <c r="AE64" s="30">
        <v>0.041999999999999996</v>
      </c>
      <c r="AF64" s="30">
        <v>3.9948437455602961</v>
      </c>
      <c r="AG64" s="30">
        <v>0.38000000000000006</v>
      </c>
      <c r="AH64" s="30">
        <v>0.10600000000000002</v>
      </c>
      <c r="AI64" s="30">
        <v>0.42900000000000005</v>
      </c>
      <c r="AJ64" s="30">
        <v>52.060958549508172</v>
      </c>
      <c r="AK64" s="30">
        <v>14.207395657777338</v>
      </c>
      <c r="AL64" s="30">
        <v>47.939041450491835</v>
      </c>
      <c r="AM64" s="30">
        <v>-1.625712678248209</v>
      </c>
      <c r="AN64" s="30">
        <v>-1.6255620099763608</v>
      </c>
      <c r="AO64" s="30">
        <v>0.12601435624748364</v>
      </c>
      <c r="AP64" s="30">
        <v>0</v>
      </c>
      <c r="AQ64" s="30">
        <v>0.91650000000000009</v>
      </c>
      <c r="AR64" s="30">
        <v>0.73050000000000015</v>
      </c>
      <c r="AS64" s="30">
        <v>0.186</v>
      </c>
      <c r="AT64" s="30">
        <v>9.1264485338656982</v>
      </c>
      <c r="AU64" s="30">
        <v>13.371645589640988</v>
      </c>
      <c r="AV64" s="30">
        <v>5</v>
      </c>
      <c r="AW64" s="30">
        <v>0.041999999999999996</v>
      </c>
      <c r="AX64" s="30">
        <v>5.1469929819033533</v>
      </c>
      <c r="AY64" s="30">
        <v>0.28800000000000003</v>
      </c>
      <c r="AZ64" s="30">
        <v>0.11850000000000001</v>
      </c>
      <c r="BA64" s="30">
        <v>0.44250000000000006</v>
      </c>
      <c r="BB64" s="30">
        <v>39.250646345726892</v>
      </c>
      <c r="BC64" s="30">
        <v>16.077060605613539</v>
      </c>
      <c r="BD64" s="30">
        <v>60.749353654273115</v>
      </c>
      <c r="BE64" s="30">
        <v>-1.6061917121450755</v>
      </c>
      <c r="BF64" s="30">
        <v>-1.5504159290131554</v>
      </c>
      <c r="BG64" s="30">
        <v>0.14908127528097098</v>
      </c>
      <c r="BH64" s="30">
        <v>1</v>
      </c>
      <c r="BI64" s="30">
        <v>1.1479999999999999</v>
      </c>
      <c r="BJ64" s="30">
        <v>0.87000000000000011</v>
      </c>
      <c r="BK64" s="30">
        <v>0.23799999999999999</v>
      </c>
      <c r="BL64" s="30">
        <v>17.188738561317699</v>
      </c>
      <c r="BM64" s="30">
        <v>20.657794883512381</v>
      </c>
      <c r="BN64" s="30">
        <v>6</v>
      </c>
      <c r="BO64" s="30">
        <v>0.03925</v>
      </c>
      <c r="BP64" s="30">
        <v>6.0992877357199129</v>
      </c>
      <c r="BQ64" s="30">
        <v>0.35000000000000003</v>
      </c>
      <c r="BR64" s="30">
        <v>0.10200000000000002</v>
      </c>
      <c r="BS64" s="30">
        <v>0.59099999999999997</v>
      </c>
      <c r="BT64" s="30">
        <v>38.751991969383276</v>
      </c>
      <c r="BU64" s="30">
        <v>11.509630466152204</v>
      </c>
      <c r="BV64" s="30">
        <v>61.248008030616724</v>
      </c>
      <c r="BW64" s="30">
        <v>-1.7097339925140016</v>
      </c>
      <c r="BX64" s="30">
        <v>-1.7281502677435523</v>
      </c>
      <c r="BY64" s="30">
        <v>0.18770681805796033</v>
      </c>
      <c r="BZ64" s="30">
        <v>0.5</v>
      </c>
    </row>
    <row r="65">
      <c r="A65" s="43" t="s">
        <v>139</v>
      </c>
      <c r="B65" s="43">
        <v>1</v>
      </c>
      <c r="C65" s="126">
        <v>9.0800000000000001</v>
      </c>
      <c r="D65" s="120">
        <v>-0.051999295363040196</v>
      </c>
      <c r="E65" s="30">
        <v>2.2162244685517813</v>
      </c>
      <c r="F65" s="30">
        <v>0.028000400360980171</v>
      </c>
      <c r="G65" s="30">
        <v>2.2600000000000002</v>
      </c>
      <c r="H65" s="30">
        <v>0.50700000000000001</v>
      </c>
      <c r="I65" s="30">
        <v>1.7530000000000001</v>
      </c>
      <c r="J65" s="30">
        <v>9.0636019208719958</v>
      </c>
      <c r="K65" s="30">
        <v>17.899236392405456</v>
      </c>
      <c r="L65" s="30">
        <v>3</v>
      </c>
      <c r="M65" s="30">
        <v>0.035000000000000003</v>
      </c>
      <c r="N65" s="30">
        <v>3.1604857831539817</v>
      </c>
      <c r="O65" s="30">
        <v>0.21300000000000002</v>
      </c>
      <c r="P65" s="30">
        <v>0.096000000000000002</v>
      </c>
      <c r="Q65" s="30">
        <v>0.29400000000000004</v>
      </c>
      <c r="R65" s="30">
        <v>41.991919507132486</v>
      </c>
      <c r="S65" s="30">
        <v>18.931444654061288</v>
      </c>
      <c r="T65" s="30">
        <v>58.008080492867506</v>
      </c>
      <c r="U65" s="30">
        <v>-1.4245369427554628</v>
      </c>
      <c r="V65" s="30">
        <v>-1.4151306936138932</v>
      </c>
      <c r="W65" s="30">
        <v>0.062094162107336467</v>
      </c>
      <c r="X65" s="30">
        <v>0.5</v>
      </c>
      <c r="Y65" s="97">
        <v>1.7385000000000002</v>
      </c>
      <c r="Z65" s="30">
        <v>0.59850000000000003</v>
      </c>
      <c r="AA65" s="30">
        <v>1.1400000000000001</v>
      </c>
      <c r="AB65" s="30">
        <v>16.968081701411275</v>
      </c>
      <c r="AC65" s="30">
        <v>28.60109706633791</v>
      </c>
      <c r="AD65" s="30">
        <v>4</v>
      </c>
      <c r="AE65" s="30">
        <v>0.028499999999999998</v>
      </c>
      <c r="AF65" s="30">
        <v>4.0793216218297754</v>
      </c>
      <c r="AG65" s="30">
        <v>0.28350000000000003</v>
      </c>
      <c r="AH65" s="30">
        <v>0.11550000000000002</v>
      </c>
      <c r="AI65" s="30">
        <v>0.31500000000000006</v>
      </c>
      <c r="AJ65" s="30">
        <v>47.350962898207897</v>
      </c>
      <c r="AK65" s="30">
        <v>19.540187180212378</v>
      </c>
      <c r="AL65" s="30">
        <v>52.649037101792103</v>
      </c>
      <c r="AM65" s="30">
        <v>-1.4020378269230906</v>
      </c>
      <c r="AN65" s="30">
        <v>-1.4826001699974329</v>
      </c>
      <c r="AO65" s="30">
        <v>0.15743095835124474</v>
      </c>
      <c r="AP65" s="30">
        <v>0</v>
      </c>
      <c r="AQ65" s="30">
        <v>1.8580000000000001</v>
      </c>
      <c r="AR65" s="30">
        <v>0.75200000000000011</v>
      </c>
      <c r="AS65" s="30">
        <v>1.1365000000000001</v>
      </c>
      <c r="AT65" s="30">
        <v>8.7584666086404823</v>
      </c>
      <c r="AU65" s="30">
        <v>11.735041450650542</v>
      </c>
      <c r="AV65" s="30">
        <v>5</v>
      </c>
      <c r="AW65" s="30">
        <v>0.072500000000000009</v>
      </c>
      <c r="AX65" s="30">
        <v>5.1516124699935375</v>
      </c>
      <c r="AY65" s="30">
        <v>0.28650000000000003</v>
      </c>
      <c r="AZ65" s="30">
        <v>0.13950000000000001</v>
      </c>
      <c r="BA65" s="30">
        <v>0.46200000000000002</v>
      </c>
      <c r="BB65" s="30">
        <v>39.875276012456126</v>
      </c>
      <c r="BC65" s="30">
        <v>19.35222113891502</v>
      </c>
      <c r="BD65" s="30">
        <v>60.124723987543874</v>
      </c>
      <c r="BE65" s="30">
        <v>-1.405260757530103</v>
      </c>
      <c r="BF65" s="30">
        <v>-1.4835184258387188</v>
      </c>
      <c r="BG65" s="30">
        <v>0.12846412424277093</v>
      </c>
      <c r="BH65" s="30">
        <v>0.75</v>
      </c>
      <c r="BI65" s="30">
        <v>2.048</v>
      </c>
      <c r="BJ65" s="30">
        <v>1.038</v>
      </c>
      <c r="BK65" s="30">
        <v>1.0100000000000002</v>
      </c>
      <c r="BL65" s="30">
        <v>16.958264869128527</v>
      </c>
      <c r="BM65" s="30">
        <v>16.582794961431336</v>
      </c>
      <c r="BN65" s="30">
        <v>6</v>
      </c>
      <c r="BO65" s="30">
        <v>0.049000000000000002</v>
      </c>
      <c r="BP65" s="30">
        <v>6.0780202876629419</v>
      </c>
      <c r="BQ65" s="30">
        <v>0.38550000000000006</v>
      </c>
      <c r="BR65" s="30">
        <v>0.15450000000000003</v>
      </c>
      <c r="BS65" s="30">
        <v>0.65250000000000008</v>
      </c>
      <c r="BT65" s="30">
        <v>36.934657011433558</v>
      </c>
      <c r="BU65" s="30">
        <v>14.606366946678637</v>
      </c>
      <c r="BV65" s="30">
        <v>63.065342988566442</v>
      </c>
      <c r="BW65" s="30">
        <v>-1.4128276029250837</v>
      </c>
      <c r="BX65" s="30">
        <v>-1.5441605231809783</v>
      </c>
      <c r="BY65" s="30">
        <v>0.14854464157624186</v>
      </c>
      <c r="BZ65" s="30">
        <v>0.75</v>
      </c>
    </row>
    <row r="66">
      <c r="A66" s="43" t="s">
        <v>139</v>
      </c>
      <c r="B66" s="43">
        <v>1</v>
      </c>
      <c r="C66" s="126">
        <v>9.0800000000000001</v>
      </c>
      <c r="D66" s="120">
        <v>0.16365703175280752</v>
      </c>
      <c r="E66" s="30">
        <v>0.60730603181336562</v>
      </c>
      <c r="F66" s="30">
        <v>0.45628620371506989</v>
      </c>
      <c r="G66" s="30">
        <v>1.00875</v>
      </c>
      <c r="H66" s="30">
        <v>0.64950000000000008</v>
      </c>
      <c r="I66" s="30">
        <v>0.35924999999999996</v>
      </c>
      <c r="J66" s="30">
        <v>8.5101809559089077</v>
      </c>
      <c r="K66" s="30">
        <v>13.878772839602458</v>
      </c>
      <c r="L66" s="30">
        <v>3</v>
      </c>
      <c r="M66" s="30">
        <v>0.069750000000000006</v>
      </c>
      <c r="N66" s="30">
        <v>3.0814826666896615</v>
      </c>
      <c r="O66" s="30">
        <v>0.44250000000000006</v>
      </c>
      <c r="P66" s="30">
        <v>0.29549999999999998</v>
      </c>
      <c r="Q66" s="30">
        <v>0.20700000000000002</v>
      </c>
      <c r="R66" s="30">
        <v>65.136139097157141</v>
      </c>
      <c r="S66" s="30">
        <v>39.674844620924382</v>
      </c>
      <c r="T66" s="30">
        <v>34.863860902842859</v>
      </c>
      <c r="U66" s="30">
        <v>-1.5630158608367115</v>
      </c>
      <c r="V66" s="30">
        <v>-1.5811554943338013</v>
      </c>
      <c r="W66" s="30">
        <v>0.081529471764793304</v>
      </c>
      <c r="X66" s="30">
        <v>0</v>
      </c>
      <c r="Y66" s="97">
        <v>1.4957499999999999</v>
      </c>
      <c r="Z66" s="30">
        <v>1.1400000000000001</v>
      </c>
      <c r="AA66" s="30">
        <v>0.35575000000000001</v>
      </c>
      <c r="AB66" s="30">
        <v>18.558581159558816</v>
      </c>
      <c r="AC66" s="30">
        <v>16.635863614499442</v>
      </c>
      <c r="AD66" s="30">
        <v>4</v>
      </c>
      <c r="AE66" s="30">
        <v>0.020750000000000001</v>
      </c>
      <c r="AF66" s="30">
        <v>4.0751849290015691</v>
      </c>
      <c r="AG66" s="30">
        <v>0.60750000000000004</v>
      </c>
      <c r="AH66" s="30">
        <v>0.26250000000000001</v>
      </c>
      <c r="AI66" s="30">
        <v>0.53249999999999997</v>
      </c>
      <c r="AJ66" s="30">
        <v>55.494743837343741</v>
      </c>
      <c r="AK66" s="30">
        <v>23.837457362681487</v>
      </c>
      <c r="AL66" s="30">
        <v>44.505256162656266</v>
      </c>
      <c r="AM66" s="30">
        <v>-1.5883641366884607</v>
      </c>
      <c r="AN66" s="30">
        <v>-1.7504871365684003</v>
      </c>
      <c r="AO66" s="30">
        <v>0.63123612971856502</v>
      </c>
      <c r="AP66" s="30">
        <v>1.5</v>
      </c>
      <c r="AQ66" s="30">
        <v>1.2503333333333335</v>
      </c>
      <c r="AR66" s="30">
        <v>0.91400000000000003</v>
      </c>
      <c r="AS66" s="30">
        <v>0.33633333333333337</v>
      </c>
      <c r="AT66" s="30">
        <v>8.8756190671195316</v>
      </c>
      <c r="AU66" s="30">
        <v>9.7203226084127454</v>
      </c>
      <c r="AV66" s="30">
        <v>5</v>
      </c>
      <c r="AW66" s="30">
        <v>0.072249999999999995</v>
      </c>
      <c r="AX66" s="30">
        <v>5.1412964455485914</v>
      </c>
      <c r="AY66" s="30">
        <v>0.314</v>
      </c>
      <c r="AZ66" s="30">
        <v>0.222</v>
      </c>
      <c r="BA66" s="30">
        <v>0.60000000000000009</v>
      </c>
      <c r="BB66" s="30">
        <v>34.391735183922293</v>
      </c>
      <c r="BC66" s="30">
        <v>24.256128036830528</v>
      </c>
      <c r="BD66" s="30">
        <v>65.608264816077721</v>
      </c>
      <c r="BE66" s="30">
        <v>-1.599655488401569</v>
      </c>
      <c r="BF66" s="30">
        <v>-1.4710918756040272</v>
      </c>
      <c r="BG66" s="30">
        <v>0.091376711565682611</v>
      </c>
      <c r="BH66" s="30">
        <v>1.3333333333333333</v>
      </c>
      <c r="BI66" s="30">
        <v>1.645</v>
      </c>
      <c r="BJ66" s="30">
        <v>1.1880000000000002</v>
      </c>
      <c r="BK66" s="30">
        <v>0.45699999999999996</v>
      </c>
      <c r="BL66" s="30">
        <v>17.278600605444982</v>
      </c>
      <c r="BM66" s="30">
        <v>14.718488539547675</v>
      </c>
      <c r="BN66" s="30">
        <v>6</v>
      </c>
      <c r="BO66" s="30">
        <v>0.063500000000000001</v>
      </c>
      <c r="BP66" s="30">
        <v>6.0959025507600364</v>
      </c>
      <c r="BQ66" s="30">
        <v>0.56099999999999994</v>
      </c>
      <c r="BR66" s="30">
        <v>0.25950000000000001</v>
      </c>
      <c r="BS66" s="30">
        <v>0.627</v>
      </c>
      <c r="BT66" s="30">
        <v>46.547820044204386</v>
      </c>
      <c r="BU66" s="30">
        <v>21.067842834614332</v>
      </c>
      <c r="BV66" s="30">
        <v>53.452179955795614</v>
      </c>
      <c r="BW66" s="30">
        <v>-1.5410920299818998</v>
      </c>
      <c r="BX66" s="30">
        <v>-1.6313809932937751</v>
      </c>
      <c r="BY66" s="30">
        <v>0.30259287412541325</v>
      </c>
      <c r="BZ66" s="30">
        <v>1</v>
      </c>
    </row>
    <row r="67" ht="15">
      <c r="A67" s="42" t="s">
        <v>139</v>
      </c>
      <c r="B67" s="43">
        <v>1</v>
      </c>
      <c r="C67" s="135">
        <v>9.0800000000000001</v>
      </c>
      <c r="D67" s="66">
        <v>0.1886732283565544</v>
      </c>
      <c r="E67" s="67">
        <v>0.79322759274678523</v>
      </c>
      <c r="F67" s="67">
        <v>0.18506860801676916</v>
      </c>
      <c r="G67" s="30">
        <v>1.23125</v>
      </c>
      <c r="H67" s="30">
        <v>0.68700000000000006</v>
      </c>
      <c r="I67" s="30">
        <v>0.54425000000000001</v>
      </c>
      <c r="J67" s="30">
        <v>8.5007335331089102</v>
      </c>
      <c r="K67" s="30">
        <v>12.736847031970221</v>
      </c>
      <c r="L67" s="30">
        <v>3</v>
      </c>
      <c r="M67" s="30">
        <v>0.063250000000000001</v>
      </c>
      <c r="N67" s="30">
        <v>3.0789500709988848</v>
      </c>
      <c r="O67" s="30">
        <v>0.36299999999999999</v>
      </c>
      <c r="P67" s="30">
        <v>0.19799999999999998</v>
      </c>
      <c r="Q67" s="30">
        <v>0.32400000000000007</v>
      </c>
      <c r="R67" s="30">
        <v>52.101344054320769</v>
      </c>
      <c r="S67" s="30">
        <v>27.46309359037221</v>
      </c>
      <c r="T67" s="30">
        <v>47.898655945679224</v>
      </c>
      <c r="U67" s="30">
        <v>-1.4802275147452977</v>
      </c>
      <c r="V67" s="30">
        <v>-1.519640374706221</v>
      </c>
      <c r="W67" s="30">
        <v>0.12254258620607375</v>
      </c>
      <c r="X67" s="30">
        <v>0</v>
      </c>
      <c r="Y67" s="97">
        <v>1.8202500000000001</v>
      </c>
      <c r="Z67" s="30">
        <v>1.0245</v>
      </c>
      <c r="AA67" s="30">
        <v>0.79575000000000018</v>
      </c>
      <c r="AB67" s="30">
        <v>15.87953890964574</v>
      </c>
      <c r="AC67" s="30">
        <v>16.589457000726672</v>
      </c>
      <c r="AD67" s="30">
        <v>4</v>
      </c>
      <c r="AE67" s="30">
        <v>0.033750000000000002</v>
      </c>
      <c r="AF67" s="30">
        <v>3.9846617724127222</v>
      </c>
      <c r="AG67" s="30">
        <v>0.504</v>
      </c>
      <c r="AH67" s="30">
        <v>0.29099999999999998</v>
      </c>
      <c r="AI67" s="30">
        <v>0.52049999999999996</v>
      </c>
      <c r="AJ67" s="30">
        <v>47.849225890629498</v>
      </c>
      <c r="AK67" s="30">
        <v>26.409222312983569</v>
      </c>
      <c r="AL67" s="30">
        <v>52.150774109370516</v>
      </c>
      <c r="AM67" s="30">
        <v>-1.5462016549758539</v>
      </c>
      <c r="AN67" s="30">
        <v>-1.5598949478839603</v>
      </c>
      <c r="AO67" s="30">
        <v>0.11248955204240038</v>
      </c>
      <c r="AP67" s="30">
        <v>0.75</v>
      </c>
      <c r="AQ67" s="30">
        <v>1.6095000000000002</v>
      </c>
      <c r="AR67" s="30">
        <v>1.0470000000000002</v>
      </c>
      <c r="AS67" s="30">
        <v>0.5625</v>
      </c>
      <c r="AT67" s="30">
        <v>8.702273279136314</v>
      </c>
      <c r="AU67" s="30">
        <v>8.4874251897991133</v>
      </c>
      <c r="AV67" s="30">
        <v>5</v>
      </c>
      <c r="AW67" s="30">
        <v>0.067500000000000004</v>
      </c>
      <c r="AX67" s="30">
        <v>5.115887012861938</v>
      </c>
      <c r="AY67" s="30">
        <v>0.50250000000000006</v>
      </c>
      <c r="AZ67" s="30">
        <v>0.25800000000000001</v>
      </c>
      <c r="BA67" s="30">
        <v>0.5445000000000001</v>
      </c>
      <c r="BB67" s="30">
        <v>47.430377526390743</v>
      </c>
      <c r="BC67" s="30">
        <v>25.5128173398226</v>
      </c>
      <c r="BD67" s="30">
        <v>52.56962247360925</v>
      </c>
      <c r="BE67" s="30">
        <v>-1.6353190768221317</v>
      </c>
      <c r="BF67" s="30">
        <v>-1.6651600270062126</v>
      </c>
      <c r="BG67" s="30">
        <v>0.080128109126208505</v>
      </c>
      <c r="BH67" s="30">
        <v>1</v>
      </c>
      <c r="BI67" s="30">
        <v>1.9537500000000001</v>
      </c>
      <c r="BJ67" s="30">
        <v>1.1970000000000001</v>
      </c>
      <c r="BK67" s="30">
        <v>0.75675000000000003</v>
      </c>
      <c r="BL67" s="30">
        <v>16.77601237463319</v>
      </c>
      <c r="BM67" s="30">
        <v>14.460198704505412</v>
      </c>
      <c r="BN67" s="30">
        <v>6</v>
      </c>
      <c r="BO67" s="30">
        <v>0.04725</v>
      </c>
      <c r="BP67" s="30">
        <v>6.0628329201694671</v>
      </c>
      <c r="BQ67" s="30">
        <v>0.43200000000000005</v>
      </c>
      <c r="BR67" s="30">
        <v>0.18000000000000002</v>
      </c>
      <c r="BS67" s="30">
        <v>0.76500000000000012</v>
      </c>
      <c r="BT67" s="30">
        <v>35.39961957317594</v>
      </c>
      <c r="BU67" s="30">
        <v>14.394211030280562</v>
      </c>
      <c r="BV67" s="30">
        <v>64.60038042682406</v>
      </c>
      <c r="BW67" s="30">
        <v>-1.5920474577568342</v>
      </c>
      <c r="BX67" s="30">
        <v>-1.5967312657558645</v>
      </c>
      <c r="BY67" s="30">
        <v>0.15978705141341981</v>
      </c>
      <c r="BZ67" s="30">
        <v>1.75</v>
      </c>
    </row>
    <row r="68" s="162" customFormat="1">
      <c r="A68" s="59" t="s">
        <v>138</v>
      </c>
      <c r="B68" s="59">
        <v>2</v>
      </c>
      <c r="C68" s="175">
        <v>10</v>
      </c>
      <c r="D68" s="176">
        <v>0.35375045809603667</v>
      </c>
      <c r="E68" s="177">
        <v>-0.20658300479934172</v>
      </c>
      <c r="F68" s="177">
        <v>0.23408548358564385</v>
      </c>
      <c r="G68" s="75">
        <v>0.87575000000000025</v>
      </c>
      <c r="H68" s="75">
        <v>0.59699999999999998</v>
      </c>
      <c r="I68" s="75">
        <v>0.27875000000000005</v>
      </c>
      <c r="J68" s="75">
        <v>8.8034120598641969</v>
      </c>
      <c r="K68" s="75">
        <v>14.825525260158262</v>
      </c>
      <c r="L68" s="75">
        <v>3</v>
      </c>
      <c r="M68" s="75">
        <v>0.048250000000000001</v>
      </c>
      <c r="N68" s="75">
        <v>3.1282186509390719</v>
      </c>
      <c r="O68" s="75">
        <v>0.25650000000000001</v>
      </c>
      <c r="P68" s="75">
        <v>0.069000000000000006</v>
      </c>
      <c r="Q68" s="75">
        <v>0.34050000000000002</v>
      </c>
      <c r="R68" s="75">
        <v>43.186735944467905</v>
      </c>
      <c r="S68" s="75">
        <v>11.613232128696048</v>
      </c>
      <c r="T68" s="75">
        <v>56.813264055532088</v>
      </c>
      <c r="U68" s="75">
        <v>-1.5290987680918839</v>
      </c>
      <c r="V68" s="75">
        <v>-1.5303239119457048</v>
      </c>
      <c r="W68" s="75">
        <v>0.1649123041361045</v>
      </c>
      <c r="X68" s="75">
        <v>0.25</v>
      </c>
      <c r="Y68" s="110">
        <v>1.0912500000000001</v>
      </c>
      <c r="Z68" s="75">
        <v>0.72599999999999998</v>
      </c>
      <c r="AA68" s="75">
        <v>0.36524999999999996</v>
      </c>
      <c r="AB68" s="75">
        <v>17.357707495444259</v>
      </c>
      <c r="AC68" s="75">
        <v>24.425997864755466</v>
      </c>
      <c r="AD68" s="75">
        <v>4</v>
      </c>
      <c r="AE68" s="75">
        <v>0.041250000000000002</v>
      </c>
      <c r="AF68" s="75">
        <v>4.114137965445094</v>
      </c>
      <c r="AG68" s="75">
        <v>0.32100000000000001</v>
      </c>
      <c r="AH68" s="75">
        <v>0.070500000000000007</v>
      </c>
      <c r="AI68" s="75">
        <v>0.40499999999999997</v>
      </c>
      <c r="AJ68" s="75">
        <v>45.760640988672478</v>
      </c>
      <c r="AK68" s="75">
        <v>9.8772978301462935</v>
      </c>
      <c r="AL68" s="75">
        <v>54.239359011327522</v>
      </c>
      <c r="AM68" s="75">
        <v>-1.4821666644237546</v>
      </c>
      <c r="AN68" s="75">
        <v>-1.562004644701624</v>
      </c>
      <c r="AO68" s="75">
        <v>0.13004527167213698</v>
      </c>
      <c r="AP68" s="75">
        <v>0.25</v>
      </c>
      <c r="AQ68" s="75">
        <v>1.9265000000000001</v>
      </c>
      <c r="AR68" s="75">
        <v>1.0004999999999999</v>
      </c>
      <c r="AS68" s="75">
        <v>0.92600000000000016</v>
      </c>
      <c r="AT68" s="75">
        <v>8.4495518541784982</v>
      </c>
      <c r="AU68" s="75">
        <v>9.1732099066090633</v>
      </c>
      <c r="AV68" s="75">
        <v>5</v>
      </c>
      <c r="AW68" s="75">
        <v>0.029499999999999992</v>
      </c>
      <c r="AX68" s="75">
        <v>5.0729670908639486</v>
      </c>
      <c r="AY68" s="75">
        <v>0.40650000000000003</v>
      </c>
      <c r="AZ68" s="75">
        <v>-0.57600000000000007</v>
      </c>
      <c r="BA68" s="75">
        <v>0.59400000000000008</v>
      </c>
      <c r="BB68" s="75">
        <v>38.586947278090037</v>
      </c>
      <c r="BC68" s="75">
        <v>-42.817062799371975</v>
      </c>
      <c r="BD68" s="75">
        <v>61.413052721909956</v>
      </c>
      <c r="BE68" s="75">
        <v>-1.5354393974519145</v>
      </c>
      <c r="BF68" s="75">
        <v>-1.6035264138027359</v>
      </c>
      <c r="BG68" s="75">
        <v>0.11138081704031597</v>
      </c>
      <c r="BH68" s="75">
        <v>0.75</v>
      </c>
      <c r="BI68" s="75">
        <v>1.7867500000000003</v>
      </c>
      <c r="BJ68" s="75">
        <v>1.6559999999999999</v>
      </c>
      <c r="BK68" s="75">
        <v>0.33774999999999999</v>
      </c>
      <c r="BL68" s="75">
        <v>18.984343595232918</v>
      </c>
      <c r="BM68" s="75">
        <v>14.168470646678502</v>
      </c>
      <c r="BN68" s="75">
        <v>6</v>
      </c>
      <c r="BO68" s="75">
        <v>0.025250000000000002</v>
      </c>
      <c r="BP68" s="75">
        <v>6.0778171927445896</v>
      </c>
      <c r="BQ68" s="75">
        <v>0.34950000000000003</v>
      </c>
      <c r="BR68" s="75">
        <v>0.10800000000000001</v>
      </c>
      <c r="BS68" s="75">
        <v>1.282</v>
      </c>
      <c r="BT68" s="75">
        <v>31.439062500000006</v>
      </c>
      <c r="BU68" s="75">
        <v>10.344738828502416</v>
      </c>
      <c r="BV68" s="75">
        <v>68.560937500000009</v>
      </c>
      <c r="BW68" s="75">
        <v>-1.5013178167268455</v>
      </c>
      <c r="BX68" s="75">
        <v>-1.5445366645070882</v>
      </c>
      <c r="BY68" s="75">
        <v>0.15633222619472587</v>
      </c>
      <c r="BZ68" s="75">
        <v>3.25</v>
      </c>
    </row>
    <row r="69" s="162" customFormat="1">
      <c r="A69" s="52" t="s">
        <v>138</v>
      </c>
      <c r="B69" s="52">
        <v>2</v>
      </c>
      <c r="C69" s="169">
        <v>10</v>
      </c>
      <c r="D69" s="165">
        <v>0.080500226621197143</v>
      </c>
      <c r="E69" s="49">
        <v>0.60404447098808622</v>
      </c>
      <c r="F69" s="49">
        <v>0.2868390579197837</v>
      </c>
      <c r="G69" s="30">
        <v>0.88800000000000012</v>
      </c>
      <c r="H69" s="30">
        <v>0.65100000000000013</v>
      </c>
      <c r="I69" s="30">
        <v>0.23700000000000002</v>
      </c>
      <c r="J69" s="30">
        <v>8.71893328649975</v>
      </c>
      <c r="K69" s="30">
        <v>13.572522985137251</v>
      </c>
      <c r="L69" s="30">
        <v>3</v>
      </c>
      <c r="M69" s="30">
        <v>0.043500000000000004</v>
      </c>
      <c r="N69" s="30">
        <v>3.1197996772369589</v>
      </c>
      <c r="O69" s="30">
        <v>0.26700000000000002</v>
      </c>
      <c r="P69" s="30">
        <v>0.099000000000000019</v>
      </c>
      <c r="Q69" s="30">
        <v>0.38400000000000006</v>
      </c>
      <c r="R69" s="30">
        <v>41.481038090785638</v>
      </c>
      <c r="S69" s="30">
        <v>15.12282664351388</v>
      </c>
      <c r="T69" s="30">
        <v>58.518961909214362</v>
      </c>
      <c r="U69" s="30">
        <v>-1.4519141529576076</v>
      </c>
      <c r="V69" s="30">
        <v>-1.5098924132346532</v>
      </c>
      <c r="W69" s="30">
        <v>0.057011293763434855</v>
      </c>
      <c r="X69" s="30">
        <v>0.25</v>
      </c>
      <c r="Y69" s="97">
        <v>0.96625000000000016</v>
      </c>
      <c r="Z69" s="30">
        <v>0.73350000000000004</v>
      </c>
      <c r="AA69" s="30">
        <v>0.23274999999999996</v>
      </c>
      <c r="AB69" s="30">
        <v>17.05143389580314</v>
      </c>
      <c r="AC69" s="30">
        <v>23.624750689176185</v>
      </c>
      <c r="AD69" s="30">
        <v>4</v>
      </c>
      <c r="AE69" s="30">
        <v>0.044749999999999998</v>
      </c>
      <c r="AF69" s="30">
        <v>4.0893866118173303</v>
      </c>
      <c r="AG69" s="30">
        <v>0.30600000000000005</v>
      </c>
      <c r="AH69" s="30">
        <v>0.070500000000000007</v>
      </c>
      <c r="AI69" s="30">
        <v>0.42750000000000005</v>
      </c>
      <c r="AJ69" s="30">
        <v>41.976952374751782</v>
      </c>
      <c r="AK69" s="30">
        <v>9.9093099029620397</v>
      </c>
      <c r="AL69" s="30">
        <v>58.023047625248218</v>
      </c>
      <c r="AM69" s="30">
        <v>-1.4996599416755116</v>
      </c>
      <c r="AN69" s="30">
        <v>-1.5632217729388613</v>
      </c>
      <c r="AO69" s="30">
        <v>0.06836417961105376</v>
      </c>
      <c r="AP69" s="30">
        <v>0</v>
      </c>
      <c r="AQ69" s="30">
        <v>0.84050000000000014</v>
      </c>
      <c r="AR69" s="30">
        <v>0.67949999999999999</v>
      </c>
      <c r="AS69" s="30">
        <v>0.16100000000000003</v>
      </c>
      <c r="AT69" s="30">
        <v>8.9501437567882007</v>
      </c>
      <c r="AU69" s="30">
        <v>13.420246079864032</v>
      </c>
      <c r="AV69" s="30">
        <v>5</v>
      </c>
      <c r="AW69" s="30">
        <v>0.050500000000000003</v>
      </c>
      <c r="AX69" s="30">
        <v>5.1518582135791036</v>
      </c>
      <c r="AY69" s="30">
        <v>0.22650000000000006</v>
      </c>
      <c r="AZ69" s="30">
        <v>0.084000000000000005</v>
      </c>
      <c r="BA69" s="30">
        <v>0.45299999999999996</v>
      </c>
      <c r="BB69" s="30">
        <v>33.304896953535419</v>
      </c>
      <c r="BC69" s="30">
        <v>12.298839956509976</v>
      </c>
      <c r="BD69" s="30">
        <v>66.695103046464581</v>
      </c>
      <c r="BE69" s="30">
        <v>-1.4198169441829656</v>
      </c>
      <c r="BF69" s="30">
        <v>-1.4589584515567109</v>
      </c>
      <c r="BG69" s="30">
        <v>0.14875882564231596</v>
      </c>
      <c r="BH69" s="30">
        <v>0</v>
      </c>
      <c r="BI69" s="30">
        <v>1.2065000000000001</v>
      </c>
      <c r="BJ69" s="30">
        <v>0.97650000000000003</v>
      </c>
      <c r="BK69" s="30">
        <v>0.23000000000000004</v>
      </c>
      <c r="BL69" s="30">
        <v>17.137605352205494</v>
      </c>
      <c r="BM69" s="30">
        <v>17.757348964000968</v>
      </c>
      <c r="BN69" s="30">
        <v>6</v>
      </c>
      <c r="BO69" s="30">
        <v>0.042999999999999997</v>
      </c>
      <c r="BP69" s="30">
        <v>6.0870043834378196</v>
      </c>
      <c r="BQ69" s="30">
        <v>0.375</v>
      </c>
      <c r="BR69" s="30">
        <v>0.12150000000000001</v>
      </c>
      <c r="BS69" s="30">
        <v>0.60150000000000015</v>
      </c>
      <c r="BT69" s="30">
        <v>37.758765638719858</v>
      </c>
      <c r="BU69" s="30">
        <v>11.596638355009587</v>
      </c>
      <c r="BV69" s="30">
        <v>62.241234361280149</v>
      </c>
      <c r="BW69" s="30">
        <v>-1.4504614540788932</v>
      </c>
      <c r="BX69" s="30">
        <v>-1.5868988975948324</v>
      </c>
      <c r="BY69" s="30">
        <v>0.20169391846975165</v>
      </c>
      <c r="BZ69" s="30">
        <v>0.25</v>
      </c>
    </row>
    <row r="70" s="162" customFormat="1">
      <c r="A70" s="52" t="s">
        <v>138</v>
      </c>
      <c r="B70" s="52">
        <v>1</v>
      </c>
      <c r="C70" s="169">
        <v>10</v>
      </c>
      <c r="D70" s="165">
        <v>0.4233750350449737</v>
      </c>
      <c r="E70" s="49">
        <v>-0.37283233489467005</v>
      </c>
      <c r="F70" s="49">
        <v>0.51993346728161527</v>
      </c>
      <c r="G70" s="30">
        <v>0.9813333333333335</v>
      </c>
      <c r="H70" s="30">
        <v>0.98799999999999999</v>
      </c>
      <c r="I70" s="30">
        <v>-0.0066666666666666636</v>
      </c>
      <c r="J70" s="30">
        <v>8.118972771561074</v>
      </c>
      <c r="K70" s="30">
        <v>8.2325209627309395</v>
      </c>
      <c r="L70" s="30">
        <v>3</v>
      </c>
      <c r="M70" s="30">
        <v>0.072750000000000009</v>
      </c>
      <c r="N70" s="30">
        <v>3.014913197910404</v>
      </c>
      <c r="O70" s="30">
        <v>0.51000000000000001</v>
      </c>
      <c r="P70" s="30">
        <v>0.17200000000000001</v>
      </c>
      <c r="Q70" s="30">
        <v>0.47800000000000004</v>
      </c>
      <c r="R70" s="30">
        <v>51.578987963788769</v>
      </c>
      <c r="S70" s="30">
        <v>17.021327899702484</v>
      </c>
      <c r="T70" s="30">
        <v>48.421012036211231</v>
      </c>
      <c r="U70" s="30">
        <v>-1.5292111356119416</v>
      </c>
      <c r="V70" s="30">
        <v>-1.6843115511292686</v>
      </c>
      <c r="W70" s="30">
        <v>0.092128303861892635</v>
      </c>
      <c r="X70" s="30">
        <v>0.5</v>
      </c>
      <c r="Y70" s="97">
        <v>1.3700000000000001</v>
      </c>
      <c r="Z70" s="30">
        <v>1.3659999999999999</v>
      </c>
      <c r="AA70" s="30">
        <v>0.0040000000000000036</v>
      </c>
      <c r="AB70" s="30">
        <v>16.404323023235687</v>
      </c>
      <c r="AC70" s="30">
        <v>12.368481843387832</v>
      </c>
      <c r="AD70" s="30">
        <v>4</v>
      </c>
      <c r="AE70" s="30">
        <v>0.076999999999999985</v>
      </c>
      <c r="AF70" s="30">
        <v>4.0286394806594155</v>
      </c>
      <c r="AG70" s="30">
        <v>0.86799999999999999</v>
      </c>
      <c r="AH70" s="30">
        <v>0.434</v>
      </c>
      <c r="AI70" s="30">
        <v>0.49800000000000005</v>
      </c>
      <c r="AJ70" s="30">
        <v>63.214234730439294</v>
      </c>
      <c r="AK70" s="30">
        <v>30.600064003297543</v>
      </c>
      <c r="AL70" s="30">
        <v>36.785765269560713</v>
      </c>
      <c r="AM70" s="30">
        <v>-1.5993975516776395</v>
      </c>
      <c r="AN70" s="30">
        <v>-1.6721528643744292</v>
      </c>
      <c r="AO70" s="30">
        <v>0.078118425805768027</v>
      </c>
      <c r="AP70" s="30">
        <v>0</v>
      </c>
      <c r="AQ70" s="30">
        <v>1.5042500000000001</v>
      </c>
      <c r="AR70" s="30">
        <v>1.3305000000000002</v>
      </c>
      <c r="AS70" s="30">
        <v>0.17375000000000002</v>
      </c>
      <c r="AT70" s="30">
        <v>9.027135796580378</v>
      </c>
      <c r="AU70" s="30">
        <v>6.8038303425001683</v>
      </c>
      <c r="AV70" s="30">
        <v>5</v>
      </c>
      <c r="AW70" s="30">
        <v>0.055750000000000008</v>
      </c>
      <c r="AX70" s="30">
        <v>5.0694757674903421</v>
      </c>
      <c r="AY70" s="30">
        <v>0.54449999999999998</v>
      </c>
      <c r="AZ70" s="30">
        <v>0.2505</v>
      </c>
      <c r="BA70" s="30">
        <v>0.78600000000000003</v>
      </c>
      <c r="BB70" s="30">
        <v>41.325246641833814</v>
      </c>
      <c r="BC70" s="30">
        <v>18.715010985456303</v>
      </c>
      <c r="BD70" s="30">
        <v>58.674753358166186</v>
      </c>
      <c r="BE70" s="30">
        <v>-1.4929261503963485</v>
      </c>
      <c r="BF70" s="30">
        <v>-1.6271503043141711</v>
      </c>
      <c r="BG70" s="30">
        <v>0.093421170664771583</v>
      </c>
      <c r="BH70" s="30">
        <v>2</v>
      </c>
      <c r="BI70" s="30">
        <v>2.4889999999999999</v>
      </c>
      <c r="BJ70" s="30">
        <v>2.2170000000000001</v>
      </c>
      <c r="BK70" s="30">
        <v>0.27200000000000002</v>
      </c>
      <c r="BL70" s="30">
        <v>16.76910956543918</v>
      </c>
      <c r="BM70" s="30">
        <v>8.3450769278970185</v>
      </c>
      <c r="BN70" s="30">
        <v>6</v>
      </c>
      <c r="BO70" s="30">
        <v>0.034250000000000003</v>
      </c>
      <c r="BP70" s="30">
        <v>6.0617617968455066</v>
      </c>
      <c r="BQ70" s="30">
        <v>1.05</v>
      </c>
      <c r="BR70" s="30">
        <v>1.167</v>
      </c>
      <c r="BS70" s="30">
        <v>1.167</v>
      </c>
      <c r="BT70" s="30">
        <v>44.493238871635612</v>
      </c>
      <c r="BU70" s="30">
        <v>45.776721014492757</v>
      </c>
      <c r="BV70" s="30">
        <v>55.506761128364388</v>
      </c>
      <c r="BW70" s="30">
        <v>-1.6849873527474335</v>
      </c>
      <c r="BX70" s="30">
        <v>-1.7389022708959228</v>
      </c>
      <c r="BY70" s="30">
        <v>0.14566013617615731</v>
      </c>
      <c r="BZ70" s="30">
        <v>3</v>
      </c>
    </row>
    <row r="71" s="162" customFormat="1">
      <c r="A71" s="52" t="s">
        <v>138</v>
      </c>
      <c r="B71" s="52">
        <v>1</v>
      </c>
      <c r="C71" s="169">
        <v>10</v>
      </c>
      <c r="D71" s="165">
        <v>0.19083267984818961</v>
      </c>
      <c r="E71" s="49">
        <v>1.1664905100343457</v>
      </c>
      <c r="F71" s="49">
        <v>0.13285069283814577</v>
      </c>
      <c r="G71" s="30">
        <v>1.3983333333333334</v>
      </c>
      <c r="H71" s="30">
        <v>1.24</v>
      </c>
      <c r="I71" s="30">
        <v>0.15833333333333335</v>
      </c>
      <c r="J71" s="30">
        <v>8.3859553688880073</v>
      </c>
      <c r="K71" s="30">
        <v>6.7888550462813617</v>
      </c>
      <c r="L71" s="30">
        <v>3</v>
      </c>
      <c r="M71" s="30">
        <v>0.054749999999999986</v>
      </c>
      <c r="N71" s="30">
        <v>3.0629461668088873</v>
      </c>
      <c r="O71" s="30">
        <v>0.55999999999999994</v>
      </c>
      <c r="P71" s="30">
        <v>0.25</v>
      </c>
      <c r="Q71" s="30">
        <v>0.68000000000000005</v>
      </c>
      <c r="R71" s="30">
        <v>44.725259213633088</v>
      </c>
      <c r="S71" s="30">
        <v>19.895090537221733</v>
      </c>
      <c r="T71" s="30">
        <v>55.274740786366898</v>
      </c>
      <c r="U71" s="30">
        <v>-1.5580225848980935</v>
      </c>
      <c r="V71" s="30">
        <v>-1.6526505872962112</v>
      </c>
      <c r="W71" s="30">
        <v>0.063262868410358497</v>
      </c>
      <c r="X71" s="30">
        <v>1.5</v>
      </c>
      <c r="Y71" s="97">
        <v>2.5267500000000003</v>
      </c>
      <c r="Z71" s="30">
        <v>2.2469999999999999</v>
      </c>
      <c r="AA71" s="30">
        <v>0.27975</v>
      </c>
      <c r="AB71" s="30">
        <v>17.08745224788705</v>
      </c>
      <c r="AC71" s="30">
        <v>7.8908612784840271</v>
      </c>
      <c r="AD71" s="30">
        <v>4</v>
      </c>
      <c r="AE71" s="30">
        <v>0.039750000000000001</v>
      </c>
      <c r="AF71" s="30">
        <v>4.0877697191851574</v>
      </c>
      <c r="AG71" s="30">
        <v>1.2795000000000001</v>
      </c>
      <c r="AH71" s="30">
        <v>0.25800000000000001</v>
      </c>
      <c r="AI71" s="30">
        <v>0.96750000000000003</v>
      </c>
      <c r="AJ71" s="30">
        <v>57.047963906407539</v>
      </c>
      <c r="AK71" s="30">
        <v>11.841754669347367</v>
      </c>
      <c r="AL71" s="30">
        <v>42.952036093592447</v>
      </c>
      <c r="AM71" s="30">
        <v>-1.8776152308364069</v>
      </c>
      <c r="AN71" s="30">
        <v>-1.8915768309353687</v>
      </c>
      <c r="AO71" s="30">
        <v>0.14487453676292891</v>
      </c>
      <c r="AP71" s="30">
        <v>2.6666666666666665</v>
      </c>
      <c r="AQ71" s="30">
        <v>1.8400000000000003</v>
      </c>
      <c r="AR71" s="30">
        <v>1.6725000000000001</v>
      </c>
      <c r="AS71" s="30">
        <v>0.16750000000000001</v>
      </c>
      <c r="AT71" s="30">
        <v>8.5558277428821015</v>
      </c>
      <c r="AU71" s="30">
        <v>5.1457552120437011</v>
      </c>
      <c r="AV71" s="30">
        <v>5</v>
      </c>
      <c r="AW71" s="30">
        <v>0.027499999999999997</v>
      </c>
      <c r="AX71" s="30">
        <v>5.0846667886539851</v>
      </c>
      <c r="AY71" s="30">
        <v>0.54300000000000004</v>
      </c>
      <c r="AZ71" s="30">
        <v>0.23550000000000004</v>
      </c>
      <c r="BA71" s="30">
        <v>1.1294999999999997</v>
      </c>
      <c r="BB71" s="30">
        <v>32.023781665450052</v>
      </c>
      <c r="BC71" s="30">
        <v>13.508884096880957</v>
      </c>
      <c r="BD71" s="30">
        <v>67.976218334549941</v>
      </c>
      <c r="BE71" s="30">
        <v>-1.6086948635373681</v>
      </c>
      <c r="BF71" s="30">
        <v>-1.6645033898386168</v>
      </c>
      <c r="BG71" s="30">
        <v>0.046076539267141024</v>
      </c>
      <c r="BH71" s="30">
        <v>2.5</v>
      </c>
      <c r="BI71" s="30">
        <v>2.3213333333333335</v>
      </c>
      <c r="BJ71" s="30">
        <v>2.1860000000000004</v>
      </c>
      <c r="BK71" s="30">
        <v>0.13533333333333333</v>
      </c>
      <c r="BL71" s="30">
        <v>16.864298315869757</v>
      </c>
      <c r="BM71" s="30">
        <v>7.7961667383028397</v>
      </c>
      <c r="BN71" s="30">
        <v>6</v>
      </c>
      <c r="BO71" s="30">
        <v>0.047500000000000001</v>
      </c>
      <c r="BP71" s="30">
        <v>6.0596845769747771</v>
      </c>
      <c r="BQ71" s="30">
        <v>0.55600000000000005</v>
      </c>
      <c r="BR71" s="30">
        <v>0.16400000000000001</v>
      </c>
      <c r="BS71" s="30">
        <v>1.6300000000000001</v>
      </c>
      <c r="BT71" s="30">
        <v>24.785656044372526</v>
      </c>
      <c r="BU71" s="30">
        <v>7.1769197162434617</v>
      </c>
      <c r="BV71" s="30">
        <v>75.214343955627456</v>
      </c>
      <c r="BW71" s="30">
        <v>-1.653861628841059</v>
      </c>
      <c r="BX71" s="30">
        <v>-1.6486135390775141</v>
      </c>
      <c r="BY71" s="30">
        <v>0.16113753436964273</v>
      </c>
      <c r="BZ71" s="30">
        <v>3.5</v>
      </c>
    </row>
    <row r="72" s="162" customFormat="1">
      <c r="A72" s="52" t="s">
        <v>138</v>
      </c>
      <c r="B72" s="52">
        <v>1</v>
      </c>
      <c r="C72" s="169">
        <v>10</v>
      </c>
      <c r="D72" s="165">
        <v>0.16016322266041694</v>
      </c>
      <c r="E72" s="49">
        <v>0.38730007507268938</v>
      </c>
      <c r="F72" s="49">
        <v>0.45278212176250554</v>
      </c>
      <c r="G72" s="30">
        <v>0.86099999999999999</v>
      </c>
      <c r="H72" s="30">
        <v>0.61350000000000016</v>
      </c>
      <c r="I72" s="30">
        <v>0.2475</v>
      </c>
      <c r="J72" s="30">
        <v>9.1471375994897279</v>
      </c>
      <c r="K72" s="30">
        <v>15.095736203530279</v>
      </c>
      <c r="L72" s="30">
        <v>3</v>
      </c>
      <c r="M72" s="30">
        <v>0.034500000000000003</v>
      </c>
      <c r="N72" s="30">
        <v>3.1808678025668167</v>
      </c>
      <c r="O72" s="30">
        <v>0.36149999999999999</v>
      </c>
      <c r="P72" s="30">
        <v>0.13500000000000001</v>
      </c>
      <c r="Q72" s="30">
        <v>0.252</v>
      </c>
      <c r="R72" s="30">
        <v>59.017477281590821</v>
      </c>
      <c r="S72" s="30">
        <v>21.426023211072348</v>
      </c>
      <c r="T72" s="30">
        <v>40.982522718409179</v>
      </c>
      <c r="U72" s="30">
        <v>-1.5216680590908334</v>
      </c>
      <c r="V72" s="30">
        <v>-1.5619337314769868</v>
      </c>
      <c r="W72" s="30">
        <v>0.14611470937870749</v>
      </c>
      <c r="X72" s="30">
        <v>0</v>
      </c>
      <c r="Y72" s="97">
        <v>1.1200000000000001</v>
      </c>
      <c r="Z72" s="30">
        <v>0.77999999999999992</v>
      </c>
      <c r="AA72" s="30">
        <v>0.34000000000000002</v>
      </c>
      <c r="AB72" s="30">
        <v>16.921789757772245</v>
      </c>
      <c r="AC72" s="30">
        <v>21.732179121413253</v>
      </c>
      <c r="AD72" s="30">
        <v>4</v>
      </c>
      <c r="AE72" s="30">
        <v>0.05425</v>
      </c>
      <c r="AF72" s="30">
        <v>4.0727670311398505</v>
      </c>
      <c r="AG72" s="30">
        <v>0.438</v>
      </c>
      <c r="AH72" s="30">
        <v>0.18899999999999997</v>
      </c>
      <c r="AI72" s="30">
        <v>0.34199999999999992</v>
      </c>
      <c r="AJ72" s="30">
        <v>56.024667931688811</v>
      </c>
      <c r="AK72" s="30">
        <v>24.157969639468693</v>
      </c>
      <c r="AL72" s="30">
        <v>43.975332068311189</v>
      </c>
      <c r="AM72" s="30">
        <v>-1.4536167403633193</v>
      </c>
      <c r="AN72" s="30">
        <v>-1.606126945204809</v>
      </c>
      <c r="AO72" s="30">
        <v>0.24137358696324551</v>
      </c>
      <c r="AP72" s="30">
        <v>0</v>
      </c>
      <c r="AQ72" s="30">
        <v>1.2070000000000001</v>
      </c>
      <c r="AR72" s="30">
        <v>0.88200000000000001</v>
      </c>
      <c r="AS72" s="30">
        <v>0.32500000000000007</v>
      </c>
      <c r="AT72" s="30">
        <v>8.598298399325385</v>
      </c>
      <c r="AU72" s="30">
        <v>10.562764155374529</v>
      </c>
      <c r="AV72" s="30">
        <v>5</v>
      </c>
      <c r="AW72" s="30">
        <v>0.051500000000000004</v>
      </c>
      <c r="AX72" s="30">
        <v>5.0976683052273044</v>
      </c>
      <c r="AY72" s="30">
        <v>0.318</v>
      </c>
      <c r="AZ72" s="30">
        <v>0.11850000000000001</v>
      </c>
      <c r="BA72" s="30">
        <v>0.56400000000000006</v>
      </c>
      <c r="BB72" s="30">
        <v>38.408339921132146</v>
      </c>
      <c r="BC72" s="30">
        <v>15.545899254853202</v>
      </c>
      <c r="BD72" s="30">
        <v>61.591660078867847</v>
      </c>
      <c r="BE72" s="30">
        <v>-1.4634867396125399</v>
      </c>
      <c r="BF72" s="30">
        <v>-1.5399425637906965</v>
      </c>
      <c r="BG72" s="30">
        <v>0.064191286928323599</v>
      </c>
      <c r="BH72" s="30">
        <v>1</v>
      </c>
      <c r="BI72" s="30">
        <v>1.3410000000000002</v>
      </c>
      <c r="BJ72" s="30">
        <v>1.042</v>
      </c>
      <c r="BK72" s="30">
        <v>0.29900000000000004</v>
      </c>
      <c r="BL72" s="30">
        <v>17.112824607007912</v>
      </c>
      <c r="BM72" s="30">
        <v>16.994789503301412</v>
      </c>
      <c r="BN72" s="30">
        <v>6</v>
      </c>
      <c r="BO72" s="30">
        <v>0.063</v>
      </c>
      <c r="BP72" s="30">
        <v>6.0772240200659873</v>
      </c>
      <c r="BQ72" s="30">
        <v>0.36400000000000005</v>
      </c>
      <c r="BR72" s="30">
        <v>0.156</v>
      </c>
      <c r="BS72" s="30">
        <v>0.67800000000000005</v>
      </c>
      <c r="BT72" s="30">
        <v>35.607615139078888</v>
      </c>
      <c r="BU72" s="30">
        <v>16.427268581851347</v>
      </c>
      <c r="BV72" s="30">
        <v>64.392384860921112</v>
      </c>
      <c r="BW72" s="30">
        <v>-1.5101564715422764</v>
      </c>
      <c r="BX72" s="30">
        <v>-1.5585661025442492</v>
      </c>
      <c r="BY72" s="30">
        <v>0.24851428369013326</v>
      </c>
      <c r="BZ72" s="30">
        <v>1</v>
      </c>
    </row>
    <row r="73">
      <c r="A73" s="43" t="s">
        <v>139</v>
      </c>
      <c r="B73" s="43">
        <v>1</v>
      </c>
      <c r="C73" s="132">
        <v>10</v>
      </c>
      <c r="D73" s="120">
        <v>0.30704333844609388</v>
      </c>
      <c r="E73" s="30">
        <v>-0.097054745304132509</v>
      </c>
      <c r="F73" s="30">
        <v>0.6955366867721644</v>
      </c>
      <c r="G73" s="30">
        <v>0.8580000000000001</v>
      </c>
      <c r="H73" s="30">
        <v>0.79800000000000004</v>
      </c>
      <c r="I73" s="30">
        <v>0.060000000000000005</v>
      </c>
      <c r="J73" s="30">
        <v>8.3895757949768104</v>
      </c>
      <c r="K73" s="30">
        <v>10.547041654974691</v>
      </c>
      <c r="L73" s="30">
        <v>3</v>
      </c>
      <c r="M73" s="30">
        <v>0.065250000000000002</v>
      </c>
      <c r="N73" s="30">
        <v>3.0621764044969044</v>
      </c>
      <c r="O73" s="30">
        <v>0.44400000000000012</v>
      </c>
      <c r="P73" s="30">
        <v>0.20699999999999999</v>
      </c>
      <c r="Q73" s="30">
        <v>0.35399999999999993</v>
      </c>
      <c r="R73" s="30">
        <v>55.704964539007086</v>
      </c>
      <c r="S73" s="30">
        <v>25.19432624113475</v>
      </c>
      <c r="T73" s="30">
        <v>44.295035460992914</v>
      </c>
      <c r="U73" s="30">
        <v>-1.6743140916185932</v>
      </c>
      <c r="V73" s="30">
        <v>-1.6823596509642</v>
      </c>
      <c r="W73" s="30">
        <v>0.1258405460726697</v>
      </c>
      <c r="X73" s="30">
        <v>0.5</v>
      </c>
      <c r="Y73" s="97">
        <v>1.2975000000000001</v>
      </c>
      <c r="Z73" s="30">
        <v>1.2390000000000001</v>
      </c>
      <c r="AA73" s="30">
        <v>0.058500000000000017</v>
      </c>
      <c r="AB73" s="30">
        <v>17.153816731339866</v>
      </c>
      <c r="AC73" s="30">
        <v>13.942474494713338</v>
      </c>
      <c r="AD73" s="30">
        <v>4</v>
      </c>
      <c r="AE73" s="30">
        <v>0.047</v>
      </c>
      <c r="AF73" s="30">
        <v>4.095995920428777</v>
      </c>
      <c r="AG73" s="30">
        <v>0.82799999999999996</v>
      </c>
      <c r="AH73" s="30">
        <v>0.12300000000000001</v>
      </c>
      <c r="AI73" s="30">
        <v>0.41100000000000003</v>
      </c>
      <c r="AJ73" s="30">
        <v>66.5988358336094</v>
      </c>
      <c r="AK73" s="30">
        <v>10.408877951824334</v>
      </c>
      <c r="AL73" s="30">
        <v>33.401164166390615</v>
      </c>
      <c r="AM73" s="30">
        <v>-1.8279965795652284</v>
      </c>
      <c r="AN73" s="30">
        <v>-1.8454555445375</v>
      </c>
      <c r="AO73" s="30">
        <v>0.18473176783938478</v>
      </c>
      <c r="AP73" s="30">
        <v>1</v>
      </c>
      <c r="AQ73" s="30">
        <v>1.149</v>
      </c>
      <c r="AR73" s="30">
        <v>0.83700000000000008</v>
      </c>
      <c r="AS73" s="30">
        <v>0.31200000000000006</v>
      </c>
      <c r="AT73" s="30">
        <v>8.8144477990491623</v>
      </c>
      <c r="AU73" s="30">
        <v>10.696637936390085</v>
      </c>
      <c r="AV73" s="30">
        <v>5</v>
      </c>
      <c r="AW73" s="30">
        <v>0.049999999999999996</v>
      </c>
      <c r="AX73" s="30">
        <v>5.1352313298605026</v>
      </c>
      <c r="AY73" s="30">
        <v>0.30299999999999999</v>
      </c>
      <c r="AZ73" s="30">
        <v>0.114</v>
      </c>
      <c r="BA73" s="30">
        <v>0.53400000000000003</v>
      </c>
      <c r="BB73" s="30">
        <v>35.728829487313355</v>
      </c>
      <c r="BC73" s="30">
        <v>13.655111203926074</v>
      </c>
      <c r="BD73" s="30">
        <v>64.271170512686652</v>
      </c>
      <c r="BE73" s="30">
        <v>-1.5314117894688215</v>
      </c>
      <c r="BF73" s="30">
        <v>-1.5314730031911956</v>
      </c>
      <c r="BG73" s="30">
        <v>0.074317350289637568</v>
      </c>
      <c r="BH73" s="30">
        <v>1</v>
      </c>
      <c r="BI73" s="30">
        <v>1.9100000000000001</v>
      </c>
      <c r="BJ73" s="30">
        <v>1.7459999999999998</v>
      </c>
      <c r="BK73" s="30">
        <v>0.29600000000000004</v>
      </c>
      <c r="BL73" s="30">
        <v>17.236134311077556</v>
      </c>
      <c r="BM73" s="30">
        <v>10.039034905537058</v>
      </c>
      <c r="BN73" s="30">
        <v>6</v>
      </c>
      <c r="BO73" s="30">
        <v>0.041250000000000002</v>
      </c>
      <c r="BP73" s="30">
        <v>6.0996182410061222</v>
      </c>
      <c r="BQ73" s="30">
        <v>0.65400000000000003</v>
      </c>
      <c r="BR73" s="30">
        <v>0.106</v>
      </c>
      <c r="BS73" s="30">
        <v>0.94200000000000006</v>
      </c>
      <c r="BT73" s="30">
        <v>40.258813029897368</v>
      </c>
      <c r="BU73" s="30">
        <v>7.1061133422579204</v>
      </c>
      <c r="BV73" s="30">
        <v>59.741186970102632</v>
      </c>
      <c r="BW73" s="30">
        <v>-1.6028261805028094</v>
      </c>
      <c r="BX73" s="30">
        <v>-1.6568733748911184</v>
      </c>
      <c r="BY73" s="30">
        <v>0.17322752717148124</v>
      </c>
      <c r="BZ73" s="30">
        <v>2</v>
      </c>
    </row>
    <row r="74">
      <c r="A74" s="42" t="s">
        <v>139</v>
      </c>
      <c r="B74" s="43">
        <v>2</v>
      </c>
      <c r="C74" s="119">
        <v>10</v>
      </c>
      <c r="D74" s="120">
        <v>0.18415911362099188</v>
      </c>
      <c r="E74" s="30">
        <v>0.97347666308295666</v>
      </c>
      <c r="F74" s="30">
        <v>0.20018314421793137</v>
      </c>
      <c r="G74" s="30">
        <v>1.3402500000000002</v>
      </c>
      <c r="H74" s="30">
        <v>0.97950000000000015</v>
      </c>
      <c r="I74" s="30">
        <v>0.36075000000000002</v>
      </c>
      <c r="J74" s="30">
        <v>8.0789118718586366</v>
      </c>
      <c r="K74" s="30">
        <v>9.0933002745082945</v>
      </c>
      <c r="L74" s="30">
        <v>3</v>
      </c>
      <c r="M74" s="30">
        <v>0.057749999999999989</v>
      </c>
      <c r="N74" s="30">
        <v>3.0080657093712286</v>
      </c>
      <c r="O74" s="30">
        <v>0.45300000000000001</v>
      </c>
      <c r="P74" s="30">
        <v>0.1515</v>
      </c>
      <c r="Q74" s="30">
        <v>0.52650000000000008</v>
      </c>
      <c r="R74" s="30">
        <v>44.907373929113049</v>
      </c>
      <c r="S74" s="30">
        <v>15.374195265499614</v>
      </c>
      <c r="T74" s="30">
        <v>55.092626070886944</v>
      </c>
      <c r="U74" s="30">
        <v>-1.5602701665580541</v>
      </c>
      <c r="V74" s="30">
        <v>-1.5863935763441221</v>
      </c>
      <c r="W74" s="30">
        <v>0.076656483330277289</v>
      </c>
      <c r="X74" s="30">
        <v>0.5</v>
      </c>
      <c r="Y74" s="97">
        <v>2.1266666666666669</v>
      </c>
      <c r="Z74" s="30">
        <v>1.5820000000000001</v>
      </c>
      <c r="AA74" s="30">
        <v>0.54466666666666674</v>
      </c>
      <c r="AB74" s="30">
        <v>16.442653503924408</v>
      </c>
      <c r="AC74" s="30">
        <v>11.717283403576593</v>
      </c>
      <c r="AD74" s="30">
        <v>4</v>
      </c>
      <c r="AE74" s="30">
        <v>0.032500000000000001</v>
      </c>
      <c r="AF74" s="30">
        <v>4.0350493022383498</v>
      </c>
      <c r="AG74" s="30">
        <v>0.69800000000000006</v>
      </c>
      <c r="AH74" s="30">
        <v>0.11</v>
      </c>
      <c r="AI74" s="30">
        <v>0.88400000000000001</v>
      </c>
      <c r="AJ74" s="30">
        <v>46.376007735034108</v>
      </c>
      <c r="AK74" s="30">
        <v>8.6315682664567035</v>
      </c>
      <c r="AL74" s="30">
        <v>53.623992264965892</v>
      </c>
      <c r="AM74" s="30">
        <v>-1.70301821972737</v>
      </c>
      <c r="AN74" s="30">
        <v>-1.8297952464837319</v>
      </c>
      <c r="AO74" s="30">
        <v>0.15785929330558524</v>
      </c>
      <c r="AP74" s="30">
        <v>1</v>
      </c>
      <c r="AQ74" s="30">
        <v>1.8180000000000001</v>
      </c>
      <c r="AR74" s="30">
        <v>1.4925000000000002</v>
      </c>
      <c r="AS74" s="30">
        <v>0.32549999999999996</v>
      </c>
      <c r="AT74" s="30">
        <v>8.9387304122993427</v>
      </c>
      <c r="AU74" s="30">
        <v>6.4188137739206983</v>
      </c>
      <c r="AV74" s="30">
        <v>5</v>
      </c>
      <c r="AW74" s="30">
        <v>0.039</v>
      </c>
      <c r="AX74" s="30">
        <v>5.1443196885051616</v>
      </c>
      <c r="AY74" s="30">
        <v>0.60000000000000009</v>
      </c>
      <c r="AZ74" s="30">
        <v>0.088500000000000009</v>
      </c>
      <c r="BA74" s="30">
        <v>0.89250000000000007</v>
      </c>
      <c r="BB74" s="30">
        <v>35.705331974305025</v>
      </c>
      <c r="BC74" s="30">
        <v>6.759573239575138</v>
      </c>
      <c r="BD74" s="30">
        <v>64.294668025694975</v>
      </c>
      <c r="BE74" s="30">
        <v>-1.6109330631081284</v>
      </c>
      <c r="BF74" s="30">
        <v>-1.7077413925422327</v>
      </c>
      <c r="BG74" s="30">
        <v>0.074857935731893574</v>
      </c>
      <c r="BH74" s="30">
        <v>2.3333333333333335</v>
      </c>
      <c r="BI74" s="30">
        <v>2.0554999999999999</v>
      </c>
      <c r="BJ74" s="30">
        <v>1.5855000000000001</v>
      </c>
      <c r="BK74" s="30">
        <v>0.47000000000000008</v>
      </c>
      <c r="BL74" s="30">
        <v>16.991647107010788</v>
      </c>
      <c r="BM74" s="30">
        <v>11.199333702966674</v>
      </c>
      <c r="BN74" s="30">
        <v>6</v>
      </c>
      <c r="BO74" s="30">
        <v>0.077499999999999999</v>
      </c>
      <c r="BP74" s="30">
        <v>6.0820398213896461</v>
      </c>
      <c r="BQ74" s="30">
        <v>0.65849999999999997</v>
      </c>
      <c r="BR74" s="30">
        <v>0.45150000000000007</v>
      </c>
      <c r="BS74" s="30">
        <v>0.92699999999999994</v>
      </c>
      <c r="BT74" s="30">
        <v>40.714336414793223</v>
      </c>
      <c r="BU74" s="30">
        <v>25.93238250467207</v>
      </c>
      <c r="BV74" s="30">
        <v>59.28566358520677</v>
      </c>
      <c r="BW74" s="30">
        <v>-1.6284461418521616</v>
      </c>
      <c r="BX74" s="30">
        <v>-1.7504716083904639</v>
      </c>
      <c r="BY74" s="30">
        <v>0.16340261870025749</v>
      </c>
      <c r="BZ74" s="30">
        <v>1.5</v>
      </c>
    </row>
    <row r="75" s="162" customFormat="1">
      <c r="A75" s="52" t="s">
        <v>138</v>
      </c>
      <c r="B75" s="51">
        <v>2</v>
      </c>
      <c r="C75" s="164">
        <v>10.02</v>
      </c>
      <c r="D75" s="165">
        <v>0.11398573833270979</v>
      </c>
      <c r="E75" s="49">
        <v>0.75736347324395337</v>
      </c>
      <c r="F75" s="49">
        <v>0.19553512249843852</v>
      </c>
      <c r="G75" s="30">
        <v>1.0627500000000001</v>
      </c>
      <c r="H75" s="30">
        <v>0.62550000000000006</v>
      </c>
      <c r="I75" s="30">
        <v>0.43725000000000003</v>
      </c>
      <c r="J75" s="30">
        <v>8.9448170285564839</v>
      </c>
      <c r="K75" s="30">
        <v>15.301459107060737</v>
      </c>
      <c r="L75" s="30">
        <v>3</v>
      </c>
      <c r="M75" s="30">
        <v>0.066750000000000004</v>
      </c>
      <c r="N75" s="30">
        <v>3.1503893359416995</v>
      </c>
      <c r="O75" s="30">
        <v>0.252</v>
      </c>
      <c r="P75" s="30">
        <v>0.093000000000000013</v>
      </c>
      <c r="Q75" s="30">
        <v>0.37350000000000005</v>
      </c>
      <c r="R75" s="30">
        <v>42.13841666986454</v>
      </c>
      <c r="S75" s="30">
        <v>15.459981836089899</v>
      </c>
      <c r="T75" s="30">
        <v>57.861583330135453</v>
      </c>
      <c r="U75" s="30">
        <v>-1.4721002917506649</v>
      </c>
      <c r="V75" s="30">
        <v>-1.4897123093054159</v>
      </c>
      <c r="W75" s="30">
        <v>0.11294615016243888</v>
      </c>
      <c r="X75" s="30">
        <v>0.25</v>
      </c>
      <c r="Y75" s="97">
        <v>1.3667500000000001</v>
      </c>
      <c r="Z75" s="30">
        <v>0.99150000000000005</v>
      </c>
      <c r="AA75" s="30">
        <v>0.37524999999999997</v>
      </c>
      <c r="AB75" s="30">
        <v>17.41476422073217</v>
      </c>
      <c r="AC75" s="30">
        <v>20.130010640022956</v>
      </c>
      <c r="AD75" s="30">
        <v>4</v>
      </c>
      <c r="AE75" s="30">
        <v>0.064250000000000002</v>
      </c>
      <c r="AF75" s="30">
        <v>4.1036929820130075</v>
      </c>
      <c r="AG75" s="30">
        <v>0.36450000000000005</v>
      </c>
      <c r="AH75" s="30">
        <v>0.1095</v>
      </c>
      <c r="AI75" s="30">
        <v>0.62700000000000011</v>
      </c>
      <c r="AJ75" s="30">
        <v>39.510953048821207</v>
      </c>
      <c r="AK75" s="30">
        <v>12.368008028486363</v>
      </c>
      <c r="AL75" s="30">
        <v>60.489046951178793</v>
      </c>
      <c r="AM75" s="30">
        <v>-1.5184980635755863</v>
      </c>
      <c r="AN75" s="30">
        <v>-1.559042014252555</v>
      </c>
      <c r="AO75" s="30">
        <v>0.31855011126771204</v>
      </c>
      <c r="AP75" s="30">
        <v>1.25</v>
      </c>
      <c r="AQ75" s="30">
        <v>1.1005</v>
      </c>
      <c r="AR75" s="30">
        <v>0.51000000000000001</v>
      </c>
      <c r="AS75" s="30">
        <v>0.53649999999999998</v>
      </c>
      <c r="AT75" s="30">
        <v>9.1283456371526182</v>
      </c>
      <c r="AU75" s="30">
        <v>17.89871693559337</v>
      </c>
      <c r="AV75" s="30">
        <v>5</v>
      </c>
      <c r="AW75" s="30">
        <v>0.036500000000000005</v>
      </c>
      <c r="AX75" s="30">
        <v>5.2051544002553536</v>
      </c>
      <c r="AY75" s="30">
        <v>0.20699999999999999</v>
      </c>
      <c r="AZ75" s="30">
        <v>0.063</v>
      </c>
      <c r="BA75" s="30">
        <v>0.318</v>
      </c>
      <c r="BB75" s="30">
        <v>36.784694460308394</v>
      </c>
      <c r="BC75" s="30">
        <v>11.22215876641919</v>
      </c>
      <c r="BD75" s="30">
        <v>63.215305539691599</v>
      </c>
      <c r="BE75" s="30">
        <v>-1.4665710024276561</v>
      </c>
      <c r="BF75" s="30">
        <v>-1.4498585808354199</v>
      </c>
      <c r="BG75" s="30">
        <v>0.091908201012669777</v>
      </c>
      <c r="BH75" s="30">
        <v>0</v>
      </c>
      <c r="BI75" s="30">
        <v>1.5273333333333337</v>
      </c>
      <c r="BJ75" s="30">
        <v>0.97600000000000009</v>
      </c>
      <c r="BK75" s="30">
        <v>0.55133333333333334</v>
      </c>
      <c r="BL75" s="30">
        <v>17.760945069980608</v>
      </c>
      <c r="BM75" s="30">
        <v>18.404420905836009</v>
      </c>
      <c r="BN75" s="30">
        <v>6</v>
      </c>
      <c r="BO75" s="30">
        <v>0.056499999999999995</v>
      </c>
      <c r="BP75" s="30">
        <v>6.0729188178477722</v>
      </c>
      <c r="BQ75" s="30">
        <v>0.38199999999999995</v>
      </c>
      <c r="BR75" s="30">
        <v>0.086000000000000007</v>
      </c>
      <c r="BS75" s="30">
        <v>0.59400000000000008</v>
      </c>
      <c r="BT75" s="30">
        <v>39.665056484909428</v>
      </c>
      <c r="BU75" s="30">
        <v>8.7101929932812272</v>
      </c>
      <c r="BV75" s="30">
        <v>60.334943515090572</v>
      </c>
      <c r="BW75" s="30">
        <v>-1.5283377256188704</v>
      </c>
      <c r="BX75" s="30">
        <v>-1.6072777558419249</v>
      </c>
      <c r="BY75" s="30">
        <v>0.23510783437736524</v>
      </c>
      <c r="BZ75" s="30">
        <v>1.6666666666666667</v>
      </c>
    </row>
    <row r="76">
      <c r="A76" s="42" t="s">
        <v>139</v>
      </c>
      <c r="B76" s="43">
        <v>2</v>
      </c>
      <c r="C76" s="119">
        <v>10.029999999999999</v>
      </c>
      <c r="D76" s="120">
        <v>0.15215563959530992</v>
      </c>
      <c r="E76" s="30">
        <v>0.63909294145568785</v>
      </c>
      <c r="F76" s="30">
        <v>0.48014856968955832</v>
      </c>
      <c r="G76" s="30">
        <v>1.0714999999999999</v>
      </c>
      <c r="H76" s="30">
        <v>0.62250000000000005</v>
      </c>
      <c r="I76" s="30">
        <v>0.44900000000000001</v>
      </c>
      <c r="J76" s="30">
        <v>8.1139019320397701</v>
      </c>
      <c r="K76" s="30">
        <v>13.336354934454727</v>
      </c>
      <c r="L76" s="30">
        <v>3</v>
      </c>
      <c r="M76" s="30">
        <v>0.057999999999999996</v>
      </c>
      <c r="N76" s="30">
        <v>3.0156212687294044</v>
      </c>
      <c r="O76" s="30">
        <v>0.34950000000000003</v>
      </c>
      <c r="P76" s="30">
        <v>0.16950000000000004</v>
      </c>
      <c r="Q76" s="30">
        <v>0.27300000000000002</v>
      </c>
      <c r="R76" s="30">
        <v>56.446534806037491</v>
      </c>
      <c r="S76" s="30">
        <v>27.167566953268327</v>
      </c>
      <c r="T76" s="30">
        <v>43.553465193962509</v>
      </c>
      <c r="U76" s="30">
        <v>-1.4788287667432853</v>
      </c>
      <c r="V76" s="30">
        <v>-1.5425142147358686</v>
      </c>
      <c r="W76" s="30">
        <v>0.068907874033096922</v>
      </c>
      <c r="X76" s="30">
        <v>0</v>
      </c>
      <c r="Y76" s="97">
        <v>1.3807499999999999</v>
      </c>
      <c r="Z76" s="30">
        <v>0.79649999999999999</v>
      </c>
      <c r="AA76" s="30">
        <v>0.58425000000000005</v>
      </c>
      <c r="AB76" s="30">
        <v>16.636465705654324</v>
      </c>
      <c r="AC76" s="30">
        <v>21.00448687190724</v>
      </c>
      <c r="AD76" s="30">
        <v>4</v>
      </c>
      <c r="AE76" s="30">
        <v>0.065250000000000002</v>
      </c>
      <c r="AF76" s="30">
        <v>4.0510943294729156</v>
      </c>
      <c r="AG76" s="30">
        <v>0.39749999999999996</v>
      </c>
      <c r="AH76" s="30">
        <v>0.14550000000000002</v>
      </c>
      <c r="AI76" s="30">
        <v>0.39900000000000002</v>
      </c>
      <c r="AJ76" s="30">
        <v>49.934444202392271</v>
      </c>
      <c r="AK76" s="30">
        <v>17.950061148943728</v>
      </c>
      <c r="AL76" s="30">
        <v>50.065555797607729</v>
      </c>
      <c r="AM76" s="30">
        <v>-1.478468476739756</v>
      </c>
      <c r="AN76" s="30">
        <v>-1.5745189885618918</v>
      </c>
      <c r="AO76" s="30">
        <v>0.11889493916993302</v>
      </c>
      <c r="AP76" s="30">
        <v>0</v>
      </c>
      <c r="AQ76" s="30">
        <v>1.2405000000000002</v>
      </c>
      <c r="AR76" s="30">
        <v>0.88600000000000001</v>
      </c>
      <c r="AS76" s="30">
        <v>0.38400000000000001</v>
      </c>
      <c r="AT76" s="30">
        <v>8.7488932566627771</v>
      </c>
      <c r="AU76" s="30">
        <v>9.9069381342325773</v>
      </c>
      <c r="AV76" s="30">
        <v>5</v>
      </c>
      <c r="AW76" s="30">
        <v>0.044999999999999998</v>
      </c>
      <c r="AX76" s="30">
        <v>5.1370658147039787</v>
      </c>
      <c r="AY76" s="30">
        <v>0.30149999999999999</v>
      </c>
      <c r="AZ76" s="30">
        <v>0.19050000000000003</v>
      </c>
      <c r="BA76" s="30">
        <v>0.56199999999999994</v>
      </c>
      <c r="BB76" s="30">
        <v>34.656921026647339</v>
      </c>
      <c r="BC76" s="30">
        <v>21.931478727127288</v>
      </c>
      <c r="BD76" s="30">
        <v>65.343078973352661</v>
      </c>
      <c r="BE76" s="30">
        <v>-1.5002301745112301</v>
      </c>
      <c r="BF76" s="30">
        <v>-1.4769462832935629</v>
      </c>
      <c r="BG76" s="30">
        <v>0.071769606028795147</v>
      </c>
      <c r="BH76" s="30">
        <v>0.75</v>
      </c>
      <c r="BI76" s="30">
        <v>1.6469999999999998</v>
      </c>
      <c r="BJ76" s="30">
        <v>1.0965000000000003</v>
      </c>
      <c r="BK76" s="30">
        <v>0.55049999999999999</v>
      </c>
      <c r="BL76" s="30">
        <v>17.127834520587186</v>
      </c>
      <c r="BM76" s="30">
        <v>16.051252611035419</v>
      </c>
      <c r="BN76" s="30">
        <v>6</v>
      </c>
      <c r="BO76" s="30">
        <v>0.042000000000000003</v>
      </c>
      <c r="BP76" s="30">
        <v>6.089186508494647</v>
      </c>
      <c r="BQ76" s="30">
        <v>0.38850000000000001</v>
      </c>
      <c r="BR76" s="30">
        <v>0.14999999999999999</v>
      </c>
      <c r="BS76" s="30">
        <v>0.70800000000000007</v>
      </c>
      <c r="BT76" s="30">
        <v>35.550226618969354</v>
      </c>
      <c r="BU76" s="30">
        <v>13.308686421077777</v>
      </c>
      <c r="BV76" s="30">
        <v>64.449773381030653</v>
      </c>
      <c r="BW76" s="30">
        <v>-1.4849156530583654</v>
      </c>
      <c r="BX76" s="30">
        <v>-1.5777214487492879</v>
      </c>
      <c r="BY76" s="30">
        <v>0.18717351958393247</v>
      </c>
      <c r="BZ76" s="30">
        <v>1.25</v>
      </c>
    </row>
    <row r="77" s="162" customFormat="1">
      <c r="A77" s="52" t="s">
        <v>138</v>
      </c>
      <c r="B77" s="59">
        <v>1</v>
      </c>
      <c r="C77" s="168">
        <v>10.039999999999999</v>
      </c>
      <c r="D77" s="165">
        <v>0.080866547638337699</v>
      </c>
      <c r="E77" s="49">
        <v>0.50498958177009423</v>
      </c>
      <c r="F77" s="49">
        <v>0.40788540451592359</v>
      </c>
      <c r="G77" s="30">
        <v>0.77200000000000002</v>
      </c>
      <c r="H77" s="30">
        <v>0.56100000000000005</v>
      </c>
      <c r="I77" s="30">
        <v>0.21099999999999999</v>
      </c>
      <c r="J77" s="30">
        <v>8.575920355901852</v>
      </c>
      <c r="K77" s="30">
        <v>15.447925690978156</v>
      </c>
      <c r="L77" s="30">
        <v>3</v>
      </c>
      <c r="M77" s="30">
        <v>0.076999999999999999</v>
      </c>
      <c r="N77" s="30">
        <v>3.0892239585126009</v>
      </c>
      <c r="O77" s="30">
        <v>0.16350000000000001</v>
      </c>
      <c r="P77" s="30">
        <v>0.07350000000000001</v>
      </c>
      <c r="Q77" s="30">
        <v>0.39750000000000002</v>
      </c>
      <c r="R77" s="30">
        <v>29.453648523511269</v>
      </c>
      <c r="S77" s="30">
        <v>13.184377265321601</v>
      </c>
      <c r="T77" s="30">
        <v>70.546351476488724</v>
      </c>
      <c r="U77" s="30">
        <v>-1.4254219803009462</v>
      </c>
      <c r="V77" s="30">
        <v>-1.3516314369769959</v>
      </c>
      <c r="W77" s="30">
        <v>0.096142328657790835</v>
      </c>
      <c r="X77" s="30">
        <v>0.75</v>
      </c>
      <c r="Y77" s="97">
        <v>0.81425000000000014</v>
      </c>
      <c r="Z77" s="30">
        <v>0.4995</v>
      </c>
      <c r="AA77" s="30">
        <v>0.31475000000000009</v>
      </c>
      <c r="AB77" s="30">
        <v>17.31722963404313</v>
      </c>
      <c r="AC77" s="30">
        <v>36.317877577259154</v>
      </c>
      <c r="AD77" s="30">
        <v>4</v>
      </c>
      <c r="AE77" s="30">
        <v>0.040749999999999995</v>
      </c>
      <c r="AF77" s="30">
        <v>4.1093225240018105</v>
      </c>
      <c r="AG77" s="30">
        <v>0.24149999999999999</v>
      </c>
      <c r="AH77" s="30">
        <v>0.075000000000000011</v>
      </c>
      <c r="AI77" s="30">
        <v>0.25800000000000001</v>
      </c>
      <c r="AJ77" s="30">
        <v>48.756526733500415</v>
      </c>
      <c r="AK77" s="30">
        <v>15.513001253132833</v>
      </c>
      <c r="AL77" s="30">
        <v>51.243473266499578</v>
      </c>
      <c r="AM77" s="30">
        <v>-1.5115831009441574</v>
      </c>
      <c r="AN77" s="30">
        <v>-1.4866809381743353</v>
      </c>
      <c r="AO77" s="30">
        <v>0.13839561655941818</v>
      </c>
      <c r="AP77" s="30">
        <v>0</v>
      </c>
      <c r="AQ77" s="30">
        <v>0.91125000000000012</v>
      </c>
      <c r="AR77" s="30">
        <v>0.53400000000000003</v>
      </c>
      <c r="AS77" s="30">
        <v>0.37724999999999997</v>
      </c>
      <c r="AT77" s="30">
        <v>8.7775847939664153</v>
      </c>
      <c r="AU77" s="30">
        <v>16.48069264238493</v>
      </c>
      <c r="AV77" s="30">
        <v>5</v>
      </c>
      <c r="AW77" s="30">
        <v>0.029250000000000005</v>
      </c>
      <c r="AX77" s="30">
        <v>5.128032425502143</v>
      </c>
      <c r="AY77" s="30">
        <v>0.21300000000000002</v>
      </c>
      <c r="AZ77" s="30">
        <v>0.076500000000000012</v>
      </c>
      <c r="BA77" s="30">
        <v>0.32100000000000001</v>
      </c>
      <c r="BB77" s="30">
        <v>40.192671975107714</v>
      </c>
      <c r="BC77" s="30">
        <v>14.374924341264608</v>
      </c>
      <c r="BD77" s="30">
        <v>59.807328024892286</v>
      </c>
      <c r="BE77" s="30">
        <v>-1.4499553945655863</v>
      </c>
      <c r="BF77" s="30">
        <v>-1.4464617481381918</v>
      </c>
      <c r="BG77" s="30">
        <v>0.068504035719375883</v>
      </c>
      <c r="BH77" s="30">
        <v>0.5</v>
      </c>
      <c r="BI77" s="30">
        <v>1.0102500000000001</v>
      </c>
      <c r="BJ77" s="30">
        <v>0.6795000000000001</v>
      </c>
      <c r="BK77" s="30">
        <v>0.33075000000000004</v>
      </c>
      <c r="BL77" s="30">
        <v>17.015161682612003</v>
      </c>
      <c r="BM77" s="30">
        <v>25.569275204839599</v>
      </c>
      <c r="BN77" s="30">
        <v>6</v>
      </c>
      <c r="BO77" s="30">
        <v>0.033750000000000002</v>
      </c>
      <c r="BP77" s="30">
        <v>6.071531514274831</v>
      </c>
      <c r="BQ77" s="30">
        <v>0.27150000000000002</v>
      </c>
      <c r="BR77" s="30">
        <v>0.11850000000000002</v>
      </c>
      <c r="BS77" s="30">
        <v>0.40800000000000003</v>
      </c>
      <c r="BT77" s="30">
        <v>40.518477409119768</v>
      </c>
      <c r="BU77" s="30">
        <v>17.642194763852086</v>
      </c>
      <c r="BV77" s="30">
        <v>59.481522590880232</v>
      </c>
      <c r="BW77" s="30">
        <v>-1.4121736449724274</v>
      </c>
      <c r="BX77" s="30">
        <v>-1.4714479997675438</v>
      </c>
      <c r="BY77" s="30">
        <v>0.14415844814941778</v>
      </c>
      <c r="BZ77" s="30">
        <v>1</v>
      </c>
    </row>
    <row r="78" s="162" customFormat="1">
      <c r="A78" s="52" t="s">
        <v>138</v>
      </c>
      <c r="B78" s="51">
        <v>2</v>
      </c>
      <c r="C78" s="164">
        <v>10.039999999999999</v>
      </c>
      <c r="D78" s="165">
        <v>0.13890234167899218</v>
      </c>
      <c r="E78" s="49">
        <v>0.35942111150551692</v>
      </c>
      <c r="F78" s="49">
        <v>0.69320139107068612</v>
      </c>
      <c r="G78" s="30">
        <v>0.85575000000000012</v>
      </c>
      <c r="H78" s="30">
        <v>0.61649999999999994</v>
      </c>
      <c r="I78" s="30">
        <v>0.23925000000000002</v>
      </c>
      <c r="J78" s="30">
        <v>9.4617111043742472</v>
      </c>
      <c r="K78" s="30">
        <v>15.380101083793676</v>
      </c>
      <c r="L78" s="30">
        <v>3</v>
      </c>
      <c r="M78" s="30">
        <v>0.054749999999999986</v>
      </c>
      <c r="N78" s="30">
        <v>3.1332032433381221</v>
      </c>
      <c r="O78" s="30">
        <v>0.252</v>
      </c>
      <c r="P78" s="30">
        <v>0.11100000000000002</v>
      </c>
      <c r="Q78" s="30">
        <v>0.36450000000000005</v>
      </c>
      <c r="R78" s="30">
        <v>40.763429270939803</v>
      </c>
      <c r="S78" s="30">
        <v>17.580443338366038</v>
      </c>
      <c r="T78" s="30">
        <v>59.236570729060205</v>
      </c>
      <c r="U78" s="30">
        <v>-1.4627108992613704</v>
      </c>
      <c r="V78" s="30">
        <v>-1.4715601399701819</v>
      </c>
      <c r="W78" s="30">
        <v>0.06791104073524272</v>
      </c>
      <c r="X78" s="30">
        <v>1.75</v>
      </c>
      <c r="Y78" s="97">
        <v>0.88300000000000001</v>
      </c>
      <c r="Z78" s="30">
        <v>0.60299999999999998</v>
      </c>
      <c r="AA78" s="30">
        <v>0.28000000000000003</v>
      </c>
      <c r="AB78" s="30">
        <v>17.413770773045542</v>
      </c>
      <c r="AC78" s="30">
        <v>29.294412365839513</v>
      </c>
      <c r="AD78" s="30">
        <v>4</v>
      </c>
      <c r="AE78" s="30">
        <v>0.026000000000000002</v>
      </c>
      <c r="AF78" s="30">
        <v>4.1154277446835117</v>
      </c>
      <c r="AG78" s="30">
        <v>0.29400000000000004</v>
      </c>
      <c r="AH78" s="30">
        <v>0.076500000000000012</v>
      </c>
      <c r="AI78" s="30">
        <v>0.309</v>
      </c>
      <c r="AJ78" s="30">
        <v>49.292035489050221</v>
      </c>
      <c r="AK78" s="30">
        <v>12.871271842289991</v>
      </c>
      <c r="AL78" s="30">
        <v>50.707964510949793</v>
      </c>
      <c r="AM78" s="30">
        <v>-1.4596648955215028</v>
      </c>
      <c r="AN78" s="30">
        <v>-1.5282153072882805</v>
      </c>
      <c r="AO78" s="30">
        <v>0.13303157432078569</v>
      </c>
      <c r="AP78" s="30">
        <v>0</v>
      </c>
      <c r="AQ78" s="30">
        <v>0.98325000000000018</v>
      </c>
      <c r="AR78" s="30">
        <v>0.68250000000000011</v>
      </c>
      <c r="AS78" s="30">
        <v>0.30075000000000002</v>
      </c>
      <c r="AT78" s="30">
        <v>9.0391237547694843</v>
      </c>
      <c r="AU78" s="30">
        <v>13.350023800083218</v>
      </c>
      <c r="AV78" s="30">
        <v>5</v>
      </c>
      <c r="AW78" s="30">
        <v>0.057750000000000003</v>
      </c>
      <c r="AX78" s="30">
        <v>5.1214951405117457</v>
      </c>
      <c r="AY78" s="30">
        <v>0.26550000000000001</v>
      </c>
      <c r="AZ78" s="30">
        <v>0.088500000000000009</v>
      </c>
      <c r="BA78" s="30">
        <v>0.41699999999999998</v>
      </c>
      <c r="BB78" s="30">
        <v>39.822476937650549</v>
      </c>
      <c r="BC78" s="30">
        <v>13.280324249086348</v>
      </c>
      <c r="BD78" s="30">
        <v>60.177523062349437</v>
      </c>
      <c r="BE78" s="30">
        <v>-1.4530237644282966</v>
      </c>
      <c r="BF78" s="30">
        <v>-1.5073501060653478</v>
      </c>
      <c r="BG78" s="30">
        <v>0.13516418718049111</v>
      </c>
      <c r="BH78" s="30">
        <v>1.25</v>
      </c>
      <c r="BI78" s="30">
        <v>1.2782500000000001</v>
      </c>
      <c r="BJ78" s="30">
        <v>0.85200000000000009</v>
      </c>
      <c r="BK78" s="30">
        <v>0.42625000000000002</v>
      </c>
      <c r="BL78" s="30">
        <v>17.607779421793744</v>
      </c>
      <c r="BM78" s="30">
        <v>20.856555574773299</v>
      </c>
      <c r="BN78" s="30">
        <v>6</v>
      </c>
      <c r="BO78" s="30">
        <v>0.040250000000000001</v>
      </c>
      <c r="BP78" s="30">
        <v>6.0785589188368441</v>
      </c>
      <c r="BQ78" s="30">
        <v>0.30450000000000005</v>
      </c>
      <c r="BR78" s="30">
        <v>0.085500000000000007</v>
      </c>
      <c r="BS78" s="30">
        <v>0.5475000000000001</v>
      </c>
      <c r="BT78" s="30">
        <v>35.772152921421913</v>
      </c>
      <c r="BU78" s="30">
        <v>10.286103842997885</v>
      </c>
      <c r="BV78" s="30">
        <v>64.227847078578094</v>
      </c>
      <c r="BW78" s="30">
        <v>-1.4006117520836432</v>
      </c>
      <c r="BX78" s="30">
        <v>-1.5273037785923176</v>
      </c>
      <c r="BY78" s="30">
        <v>0.18822340262446896</v>
      </c>
      <c r="BZ78" s="30">
        <v>1.75</v>
      </c>
    </row>
    <row r="79">
      <c r="A79" s="43" t="s">
        <v>139</v>
      </c>
      <c r="B79" s="43">
        <v>1</v>
      </c>
      <c r="C79" s="126">
        <v>10.06</v>
      </c>
      <c r="D79" s="120">
        <v>0.17098370008253652</v>
      </c>
      <c r="E79" s="30">
        <v>0.41529555293878168</v>
      </c>
      <c r="F79" s="30">
        <v>0.19454890200202524</v>
      </c>
      <c r="G79" s="30">
        <v>1.15625</v>
      </c>
      <c r="H79" s="30">
        <v>0.78150000000000008</v>
      </c>
      <c r="I79" s="30">
        <v>0.37475000000000003</v>
      </c>
      <c r="J79" s="30">
        <v>8.797040756888995</v>
      </c>
      <c r="K79" s="30">
        <v>12.473230805919844</v>
      </c>
      <c r="L79" s="30">
        <v>3</v>
      </c>
      <c r="M79" s="30">
        <v>0.04675</v>
      </c>
      <c r="N79" s="30">
        <v>3.1111877900709488</v>
      </c>
      <c r="O79" s="30">
        <v>0.39000000000000001</v>
      </c>
      <c r="P79" s="30">
        <v>0.05850000000000001</v>
      </c>
      <c r="Q79" s="30">
        <v>0.39150000000000001</v>
      </c>
      <c r="R79" s="30">
        <v>47.165000373700302</v>
      </c>
      <c r="S79" s="30">
        <v>8.7394438991280285</v>
      </c>
      <c r="T79" s="30">
        <v>52.834999626299705</v>
      </c>
      <c r="U79" s="30">
        <v>-1.6417830533550635</v>
      </c>
      <c r="V79" s="30">
        <v>-1.6747470408787428</v>
      </c>
      <c r="W79" s="30">
        <v>0.16423847299035416</v>
      </c>
      <c r="X79" s="30">
        <v>1</v>
      </c>
      <c r="Y79" s="97">
        <v>0.95750000000000013</v>
      </c>
      <c r="Z79" s="30">
        <v>0.87450000000000006</v>
      </c>
      <c r="AA79" s="30">
        <v>0.083000000000000018</v>
      </c>
      <c r="AB79" s="30">
        <v>17.238364585213937</v>
      </c>
      <c r="AC79" s="30">
        <v>22.133338008720486</v>
      </c>
      <c r="AD79" s="30">
        <v>4</v>
      </c>
      <c r="AE79" s="30">
        <v>0.040000000000000001</v>
      </c>
      <c r="AF79" s="30">
        <v>4.103094411707044</v>
      </c>
      <c r="AG79" s="30">
        <v>0.52500000000000002</v>
      </c>
      <c r="AH79" s="30">
        <v>0.28950000000000004</v>
      </c>
      <c r="AI79" s="30">
        <v>0.34950000000000003</v>
      </c>
      <c r="AJ79" s="30">
        <v>59.405717694970065</v>
      </c>
      <c r="AK79" s="30">
        <v>28.648624943301591</v>
      </c>
      <c r="AL79" s="30">
        <v>40.594282305029928</v>
      </c>
      <c r="AM79" s="30">
        <v>-1.5895555616041699</v>
      </c>
      <c r="AN79" s="30">
        <v>-1.6035872251657426</v>
      </c>
      <c r="AO79" s="30">
        <v>0.13595930997140621</v>
      </c>
      <c r="AP79" s="30">
        <v>0.5</v>
      </c>
      <c r="AQ79" s="30">
        <v>0.94274999999999998</v>
      </c>
      <c r="AR79" s="30">
        <v>0.88500000000000012</v>
      </c>
      <c r="AS79" s="30">
        <v>0.057750000000000003</v>
      </c>
      <c r="AT79" s="30">
        <v>9.0909535827514478</v>
      </c>
      <c r="AU79" s="30">
        <v>10.903911814268319</v>
      </c>
      <c r="AV79" s="30">
        <v>5</v>
      </c>
      <c r="AW79" s="30">
        <v>0.035250000000000004</v>
      </c>
      <c r="AX79" s="30">
        <v>5.1577767041392946</v>
      </c>
      <c r="AY79" s="30">
        <v>0.39600000000000002</v>
      </c>
      <c r="AZ79" s="30">
        <v>0.28050000000000003</v>
      </c>
      <c r="BA79" s="30">
        <v>0.48900000000000005</v>
      </c>
      <c r="BB79" s="30">
        <v>44.64302668210442</v>
      </c>
      <c r="BC79" s="30">
        <v>29.799442568148145</v>
      </c>
      <c r="BD79" s="30">
        <v>55.356973317895587</v>
      </c>
      <c r="BE79" s="30">
        <v>-1.586197418521514</v>
      </c>
      <c r="BF79" s="30">
        <v>-1.6195298087031837</v>
      </c>
      <c r="BG79" s="30">
        <v>0.17715760400666569</v>
      </c>
      <c r="BH79" s="30">
        <v>1.5</v>
      </c>
      <c r="BI79" s="30">
        <v>1.8330000000000002</v>
      </c>
      <c r="BJ79" s="30">
        <v>2.0640000000000001</v>
      </c>
      <c r="BK79" s="30">
        <v>0.08900000000000001</v>
      </c>
      <c r="BL79" s="30">
        <v>16.917816825658235</v>
      </c>
      <c r="BM79" s="30">
        <v>8.1966155074023241</v>
      </c>
      <c r="BN79" s="30">
        <v>6</v>
      </c>
      <c r="BO79" s="30">
        <v>0.066000000000000003</v>
      </c>
      <c r="BP79" s="30">
        <v>6.0631253816844151</v>
      </c>
      <c r="BQ79" s="30">
        <v>0.68000000000000005</v>
      </c>
      <c r="BR79" s="30">
        <v>0.14000000000000001</v>
      </c>
      <c r="BS79" s="30">
        <v>1.29</v>
      </c>
      <c r="BT79" s="30">
        <v>39.873945915863352</v>
      </c>
      <c r="BU79" s="30">
        <v>10.22813116816503</v>
      </c>
      <c r="BV79" s="30">
        <v>60.126054084136648</v>
      </c>
      <c r="BW79" s="30">
        <v>-1.8055662541081012</v>
      </c>
      <c r="BX79" s="30">
        <v>-1.8781304987435137</v>
      </c>
      <c r="BY79" s="30">
        <v>0.1788374211684165</v>
      </c>
      <c r="BZ79" s="30">
        <v>1.5</v>
      </c>
    </row>
    <row r="80">
      <c r="A80" s="43" t="s">
        <v>139</v>
      </c>
      <c r="B80" s="43">
        <v>1</v>
      </c>
      <c r="C80" s="126">
        <v>10.06</v>
      </c>
      <c r="D80" s="120">
        <v>-0.0078424386134073772</v>
      </c>
      <c r="E80" s="30">
        <v>1.7109488533630639</v>
      </c>
      <c r="F80" s="30">
        <v>0.00040560676859002776</v>
      </c>
      <c r="G80" s="30">
        <v>1.5717500000000002</v>
      </c>
      <c r="H80" s="30">
        <v>0.85800000000000021</v>
      </c>
      <c r="I80" s="30">
        <v>0.71375</v>
      </c>
      <c r="J80" s="30">
        <v>8.3026565973951527</v>
      </c>
      <c r="K80" s="30">
        <v>10.568587546675719</v>
      </c>
      <c r="L80" s="30">
        <v>3</v>
      </c>
      <c r="M80" s="30">
        <v>0.040750000000000001</v>
      </c>
      <c r="N80" s="30">
        <v>3.0432603440909838</v>
      </c>
      <c r="O80" s="30">
        <v>0.33450000000000002</v>
      </c>
      <c r="P80" s="30">
        <v>0.2445</v>
      </c>
      <c r="Q80" s="30">
        <v>0.52350000000000008</v>
      </c>
      <c r="R80" s="30">
        <v>41.44489031567683</v>
      </c>
      <c r="S80" s="30">
        <v>26.49065042323469</v>
      </c>
      <c r="T80" s="30">
        <v>58.55510968432317</v>
      </c>
      <c r="U80" s="30">
        <v>-1.7172961968333453</v>
      </c>
      <c r="V80" s="30">
        <v>-1.5494510110064956</v>
      </c>
      <c r="W80" s="30">
        <v>0.093903254342217218</v>
      </c>
      <c r="X80" s="30">
        <v>0.75</v>
      </c>
      <c r="Y80" s="97">
        <v>1.9552500000000002</v>
      </c>
      <c r="Z80" s="30">
        <v>0.88650000000000007</v>
      </c>
      <c r="AA80" s="30">
        <v>1.0687500000000001</v>
      </c>
      <c r="AB80" s="30">
        <v>16.962442027138216</v>
      </c>
      <c r="AC80" s="30">
        <v>20.065504381465107</v>
      </c>
      <c r="AD80" s="30">
        <v>4</v>
      </c>
      <c r="AE80" s="30">
        <v>0.044249999999999998</v>
      </c>
      <c r="AF80" s="30">
        <v>4.0806506993145</v>
      </c>
      <c r="AG80" s="30">
        <v>0.52200000000000002</v>
      </c>
      <c r="AH80" s="30">
        <v>0.19500000000000001</v>
      </c>
      <c r="AI80" s="30">
        <v>0.36450000000000005</v>
      </c>
      <c r="AJ80" s="30">
        <v>56.416478484800209</v>
      </c>
      <c r="AK80" s="30">
        <v>21.0788147995451</v>
      </c>
      <c r="AL80" s="30">
        <v>43.583521515199791</v>
      </c>
      <c r="AM80" s="30">
        <v>-1.5075936717804228</v>
      </c>
      <c r="AN80" s="30">
        <v>-1.6380507600262437</v>
      </c>
      <c r="AO80" s="30">
        <v>0.11342820659677848</v>
      </c>
      <c r="AP80" s="30">
        <v>0</v>
      </c>
      <c r="AQ80" s="30">
        <v>1.4607500000000002</v>
      </c>
      <c r="AR80" s="30">
        <v>0.98850000000000016</v>
      </c>
      <c r="AS80" s="30">
        <v>0.47225</v>
      </c>
      <c r="AT80" s="30">
        <v>8.7109713018494599</v>
      </c>
      <c r="AU80" s="30">
        <v>9.1214285354440463</v>
      </c>
      <c r="AV80" s="30">
        <v>5</v>
      </c>
      <c r="AW80" s="30">
        <v>0.061749999999999992</v>
      </c>
      <c r="AX80" s="30">
        <v>5.109468362392164</v>
      </c>
      <c r="AY80" s="30">
        <v>0.45150000000000007</v>
      </c>
      <c r="AZ80" s="30">
        <v>0.36450000000000005</v>
      </c>
      <c r="BA80" s="30">
        <v>0.53700000000000003</v>
      </c>
      <c r="BB80" s="30">
        <v>45.513640996406011</v>
      </c>
      <c r="BC80" s="30">
        <v>32.864731252425841</v>
      </c>
      <c r="BD80" s="30">
        <v>54.486359003593996</v>
      </c>
      <c r="BE80" s="30">
        <v>-1.5754795848395531</v>
      </c>
      <c r="BF80" s="30">
        <v>-1.5831029304117663</v>
      </c>
      <c r="BG80" s="30">
        <v>0.086925771000466182</v>
      </c>
      <c r="BH80" s="30">
        <v>1</v>
      </c>
      <c r="BI80" s="30">
        <v>1.7124999999999999</v>
      </c>
      <c r="BJ80" s="30">
        <v>1.149</v>
      </c>
      <c r="BK80" s="30">
        <v>0.56350000000000011</v>
      </c>
      <c r="BL80" s="30">
        <v>16.857418694277712</v>
      </c>
      <c r="BM80" s="30">
        <v>15.071944859905097</v>
      </c>
      <c r="BN80" s="30">
        <v>6</v>
      </c>
      <c r="BO80" s="30">
        <v>0.054500000000000007</v>
      </c>
      <c r="BP80" s="30">
        <v>6.0702912416018506</v>
      </c>
      <c r="BQ80" s="30">
        <v>0.47550000000000009</v>
      </c>
      <c r="BR80" s="30">
        <v>0.22650000000000001</v>
      </c>
      <c r="BS80" s="30">
        <v>0.6735000000000001</v>
      </c>
      <c r="BT80" s="30">
        <v>40.626779301644063</v>
      </c>
      <c r="BU80" s="30">
        <v>18.546028455615712</v>
      </c>
      <c r="BV80" s="30">
        <v>59.373220698355929</v>
      </c>
      <c r="BW80" s="30">
        <v>-1.4908227607722957</v>
      </c>
      <c r="BX80" s="30">
        <v>-1.6049090073038155</v>
      </c>
      <c r="BY80" s="30">
        <v>0.099426753355962905</v>
      </c>
      <c r="BZ80" s="30">
        <v>1.25</v>
      </c>
    </row>
    <row r="81">
      <c r="A81" s="43" t="s">
        <v>139</v>
      </c>
      <c r="B81" s="43">
        <v>1</v>
      </c>
      <c r="C81" s="126">
        <v>10.06</v>
      </c>
      <c r="D81" s="120">
        <v>0.28294099551411023</v>
      </c>
      <c r="E81" s="30">
        <v>1.0230603931522519</v>
      </c>
      <c r="F81" s="30">
        <v>0.19318964935776806</v>
      </c>
      <c r="G81" s="30">
        <v>1.546</v>
      </c>
      <c r="H81" s="30">
        <v>1.149</v>
      </c>
      <c r="I81" s="30">
        <v>0.39700000000000002</v>
      </c>
      <c r="J81" s="30">
        <v>8.7373527006969312</v>
      </c>
      <c r="K81" s="30">
        <v>7.931148311991258</v>
      </c>
      <c r="L81" s="30">
        <v>3</v>
      </c>
      <c r="M81" s="30">
        <v>0.068249999999999991</v>
      </c>
      <c r="N81" s="30">
        <v>3.0977925348600253</v>
      </c>
      <c r="O81" s="30">
        <v>0.82500000000000007</v>
      </c>
      <c r="P81" s="30">
        <v>0.753</v>
      </c>
      <c r="Q81" s="30">
        <v>0.32400000000000001</v>
      </c>
      <c r="R81" s="30">
        <v>70.412017167381975</v>
      </c>
      <c r="S81" s="30">
        <v>63.361945636623751</v>
      </c>
      <c r="T81" s="30">
        <v>29.587982832618025</v>
      </c>
      <c r="U81" s="30">
        <v>-1.6056572157505358</v>
      </c>
      <c r="V81" s="30">
        <v>-1.6212935303157578</v>
      </c>
      <c r="W81" s="30">
        <v>0.20607615127077086</v>
      </c>
      <c r="X81" s="30">
        <v>0.5</v>
      </c>
      <c r="Y81" s="97">
        <v>2.6469999999999998</v>
      </c>
      <c r="Z81" s="30">
        <v>1.8920000000000001</v>
      </c>
      <c r="AA81" s="30">
        <v>0.98350000000000004</v>
      </c>
      <c r="AB81" s="30">
        <v>16.592694717206314</v>
      </c>
      <c r="AC81" s="30">
        <v>9.2445709708936619</v>
      </c>
      <c r="AD81" s="30">
        <v>4</v>
      </c>
      <c r="AE81" s="30">
        <v>0.041000000000000002</v>
      </c>
      <c r="AF81" s="30">
        <v>4.0743362895225896</v>
      </c>
      <c r="AG81" s="30">
        <v>1.1115000000000002</v>
      </c>
      <c r="AH81" s="30">
        <v>0.71700000000000008</v>
      </c>
      <c r="AI81" s="30">
        <v>0.59399999999999997</v>
      </c>
      <c r="AJ81" s="30">
        <v>65.093538664493025</v>
      </c>
      <c r="AK81" s="30">
        <v>39.62148615858959</v>
      </c>
      <c r="AL81" s="30">
        <v>34.906461335506975</v>
      </c>
      <c r="AM81" s="30">
        <v>-1.767768091096076</v>
      </c>
      <c r="AN81" s="30">
        <v>-1.8328449373431552</v>
      </c>
      <c r="AO81" s="30">
        <v>0.19202822910495385</v>
      </c>
      <c r="AP81" s="30">
        <v>1</v>
      </c>
      <c r="AQ81" s="30">
        <v>1.6360000000000001</v>
      </c>
      <c r="AR81" s="30">
        <v>1.3380000000000001</v>
      </c>
      <c r="AS81" s="30">
        <v>0.29800000000000004</v>
      </c>
      <c r="AT81" s="30">
        <v>8.6724837742862952</v>
      </c>
      <c r="AU81" s="30">
        <v>6.4816769613499963</v>
      </c>
      <c r="AV81" s="30">
        <v>5</v>
      </c>
      <c r="AW81" s="30">
        <v>0.057749999999999989</v>
      </c>
      <c r="AX81" s="30">
        <v>5.0816171848579463</v>
      </c>
      <c r="AY81" s="30">
        <v>0.438</v>
      </c>
      <c r="AZ81" s="30">
        <v>0.372</v>
      </c>
      <c r="BA81" s="30">
        <v>0.90000000000000013</v>
      </c>
      <c r="BB81" s="30">
        <v>32.735426008968609</v>
      </c>
      <c r="BC81" s="30">
        <v>27.802690582959642</v>
      </c>
      <c r="BD81" s="30">
        <v>67.264573991031398</v>
      </c>
      <c r="BE81" s="30">
        <v>-1.6687599609878214</v>
      </c>
      <c r="BF81" s="30">
        <v>-1.6578933266566416</v>
      </c>
      <c r="BG81" s="30">
        <v>0.18016734951159699</v>
      </c>
      <c r="BH81" s="30">
        <v>3</v>
      </c>
      <c r="BI81" s="30">
        <v>2.8580000000000005</v>
      </c>
      <c r="BJ81" s="30">
        <v>2.508</v>
      </c>
      <c r="BK81" s="30">
        <v>0.35000000000000003</v>
      </c>
      <c r="BL81" s="30">
        <v>16.990857928912703</v>
      </c>
      <c r="BM81" s="30">
        <v>6.943353800415724</v>
      </c>
      <c r="BN81" s="30">
        <v>6</v>
      </c>
      <c r="BO81" s="30">
        <v>0.037499999999999999</v>
      </c>
      <c r="BP81" s="30">
        <v>6.067410968188824</v>
      </c>
      <c r="BQ81" s="30">
        <v>1.7280000000000004</v>
      </c>
      <c r="BR81" s="30">
        <v>1.6529999999999998</v>
      </c>
      <c r="BS81" s="30">
        <v>0.78000000000000014</v>
      </c>
      <c r="BT81" s="30">
        <v>66.335097001763671</v>
      </c>
      <c r="BU81" s="30">
        <v>63.243386243386247</v>
      </c>
      <c r="BV81" s="30">
        <v>33.664902998236329</v>
      </c>
      <c r="BW81" s="30">
        <v>-1.9003895763315617</v>
      </c>
      <c r="BX81" s="30">
        <v>-1.9831086315355619</v>
      </c>
      <c r="BY81" s="30">
        <v>0.23638188685528472</v>
      </c>
      <c r="BZ81" s="30">
        <v>2</v>
      </c>
    </row>
    <row r="82">
      <c r="A82" s="42" t="s">
        <v>139</v>
      </c>
      <c r="B82" s="43">
        <v>1</v>
      </c>
      <c r="C82" s="119">
        <v>10.07</v>
      </c>
      <c r="D82" s="120">
        <v>0.1400195069962879</v>
      </c>
      <c r="E82" s="30">
        <v>0.55842267650480104</v>
      </c>
      <c r="F82" s="30">
        <v>0.17057272349290142</v>
      </c>
      <c r="G82" s="30">
        <v>0.91925000000000012</v>
      </c>
      <c r="H82" s="30">
        <v>0.90000000000000002</v>
      </c>
      <c r="I82" s="30">
        <v>0.019250000000000007</v>
      </c>
      <c r="J82" s="30">
        <v>7.9624850281768982</v>
      </c>
      <c r="K82" s="30">
        <v>10.569026960045086</v>
      </c>
      <c r="L82" s="30">
        <v>3</v>
      </c>
      <c r="M82" s="30">
        <v>0.036249999999999998</v>
      </c>
      <c r="N82" s="30">
        <v>2.9814127277533</v>
      </c>
      <c r="O82" s="30">
        <v>0.65849999999999997</v>
      </c>
      <c r="P82" s="30">
        <v>0.41849999999999998</v>
      </c>
      <c r="Q82" s="30">
        <v>0.24149999999999999</v>
      </c>
      <c r="R82" s="30">
        <v>70.645370759758919</v>
      </c>
      <c r="S82" s="30">
        <v>43.758242181639659</v>
      </c>
      <c r="T82" s="30">
        <v>29.354629240241092</v>
      </c>
      <c r="U82" s="30">
        <v>-1.7164814584920705</v>
      </c>
      <c r="V82" s="30">
        <v>-1.8326920020067798</v>
      </c>
      <c r="W82" s="30">
        <v>0.071198009500375595</v>
      </c>
      <c r="X82" s="30">
        <v>0</v>
      </c>
      <c r="Y82" s="97">
        <v>1.1610000000000003</v>
      </c>
      <c r="Z82" s="30">
        <v>0.92600000000000005</v>
      </c>
      <c r="AA82" s="30">
        <v>0.23500000000000001</v>
      </c>
      <c r="AB82" s="30">
        <v>18.543527667983742</v>
      </c>
      <c r="AC82" s="30">
        <v>22.119585507807461</v>
      </c>
      <c r="AD82" s="30">
        <v>4</v>
      </c>
      <c r="AE82" s="30">
        <v>0.067250000000000004</v>
      </c>
      <c r="AF82" s="30">
        <v>4.0453821906326022</v>
      </c>
      <c r="AG82" s="30">
        <v>0.29600000000000004</v>
      </c>
      <c r="AH82" s="30">
        <v>0.23599999999999999</v>
      </c>
      <c r="AI82" s="30">
        <v>0.63</v>
      </c>
      <c r="AJ82" s="30">
        <v>38.257032672263527</v>
      </c>
      <c r="AK82" s="30">
        <v>20.973427369339955</v>
      </c>
      <c r="AL82" s="30">
        <v>61.742967327736473</v>
      </c>
      <c r="AM82" s="30">
        <v>-1.7602688189020048</v>
      </c>
      <c r="AN82" s="30">
        <v>-1.4898723011182031</v>
      </c>
      <c r="AO82" s="30">
        <v>0.36621146048221248</v>
      </c>
      <c r="AP82" s="30">
        <v>1</v>
      </c>
      <c r="AQ82" s="30">
        <v>1.4086666666666667</v>
      </c>
      <c r="AR82" s="30">
        <v>1.1860000000000002</v>
      </c>
      <c r="AS82" s="30">
        <v>0.22266666666666668</v>
      </c>
      <c r="AT82" s="30">
        <v>10.404977661963896</v>
      </c>
      <c r="AU82" s="30">
        <v>9.4479037733449918</v>
      </c>
      <c r="AV82" s="30">
        <v>5</v>
      </c>
      <c r="AW82" s="30">
        <v>0.06275</v>
      </c>
      <c r="AX82" s="30">
        <v>5.106753512095886</v>
      </c>
      <c r="AY82" s="30">
        <v>0.26800000000000002</v>
      </c>
      <c r="AZ82" s="30">
        <v>0.13</v>
      </c>
      <c r="BA82" s="30">
        <v>0.91800000000000004</v>
      </c>
      <c r="BB82" s="30">
        <v>25.564078180615088</v>
      </c>
      <c r="BC82" s="30">
        <v>13.245859459025914</v>
      </c>
      <c r="BD82" s="30">
        <v>74.435921819384916</v>
      </c>
      <c r="BE82" s="30">
        <v>-1.6825852756434407</v>
      </c>
      <c r="BF82" s="30">
        <v>-1.4628436896258405</v>
      </c>
      <c r="BG82" s="30">
        <v>0.20651929304858341</v>
      </c>
      <c r="BH82" s="30">
        <v>3.3333333333333335</v>
      </c>
      <c r="BI82" s="30">
        <v>1.3280000000000001</v>
      </c>
      <c r="BJ82" s="30">
        <v>1.1070000000000002</v>
      </c>
      <c r="BK82" s="30">
        <v>0.221</v>
      </c>
      <c r="BL82" s="30">
        <v>16.973769692511222</v>
      </c>
      <c r="BM82" s="30">
        <v>15.620397817908852</v>
      </c>
      <c r="BN82" s="30">
        <v>6</v>
      </c>
      <c r="BO82" s="30">
        <v>0.044499999999999998</v>
      </c>
      <c r="BP82" s="30">
        <v>6.0707522302501404</v>
      </c>
      <c r="BQ82" s="30">
        <v>0.36599999999999999</v>
      </c>
      <c r="BR82" s="30">
        <v>0.16500000000000001</v>
      </c>
      <c r="BS82" s="30">
        <v>0.74099999999999999</v>
      </c>
      <c r="BT82" s="30">
        <v>33.183954671302558</v>
      </c>
      <c r="BU82" s="30">
        <v>14.209947760009936</v>
      </c>
      <c r="BV82" s="30">
        <v>66.816045328697442</v>
      </c>
      <c r="BW82" s="30">
        <v>-1.4738724010506026</v>
      </c>
      <c r="BX82" s="30">
        <v>-1.5474705812034455</v>
      </c>
      <c r="BY82" s="30">
        <v>0.15646853150296491</v>
      </c>
      <c r="BZ82" s="30">
        <v>1</v>
      </c>
    </row>
    <row r="83" s="162" customFormat="1">
      <c r="A83" s="52" t="s">
        <v>138</v>
      </c>
      <c r="B83" s="52">
        <v>2</v>
      </c>
      <c r="C83" s="166">
        <v>10.08</v>
      </c>
      <c r="D83" s="165">
        <v>-0.18006631267201983</v>
      </c>
      <c r="E83" s="49">
        <v>1.8282605306215851</v>
      </c>
      <c r="F83" s="49">
        <v>0.10386510607407784</v>
      </c>
      <c r="G83" s="30">
        <v>0.79425000000000012</v>
      </c>
      <c r="H83" s="30">
        <v>0.46950000000000003</v>
      </c>
      <c r="I83" s="30">
        <v>0.32474999999999998</v>
      </c>
      <c r="J83" s="30">
        <v>9.1880971909669427</v>
      </c>
      <c r="K83" s="30">
        <v>19.687812641711108</v>
      </c>
      <c r="L83" s="30">
        <v>3</v>
      </c>
      <c r="M83" s="30">
        <v>0.039750000000000008</v>
      </c>
      <c r="N83" s="30">
        <v>3.1944818997726294</v>
      </c>
      <c r="O83" s="30">
        <v>0.2505</v>
      </c>
      <c r="P83" s="30">
        <v>0.079500000000000001</v>
      </c>
      <c r="Q83" s="30">
        <v>0.21900000000000003</v>
      </c>
      <c r="R83" s="30">
        <v>53.513754876784652</v>
      </c>
      <c r="S83" s="30">
        <v>17.024769421225784</v>
      </c>
      <c r="T83" s="30">
        <v>46.486245123215348</v>
      </c>
      <c r="U83" s="30">
        <v>-1.5258629834151631</v>
      </c>
      <c r="V83" s="30">
        <v>-1.4977177753416044</v>
      </c>
      <c r="W83" s="30">
        <v>0.093269445154371466</v>
      </c>
      <c r="X83" s="30">
        <v>0</v>
      </c>
      <c r="Y83" s="97">
        <v>1.528</v>
      </c>
      <c r="Z83" s="30">
        <v>0.80700000000000016</v>
      </c>
      <c r="AA83" s="30">
        <v>0.7210000000000002</v>
      </c>
      <c r="AB83" s="30">
        <v>19.430360125739853</v>
      </c>
      <c r="AC83" s="30">
        <v>29.403499769031775</v>
      </c>
      <c r="AD83" s="30">
        <v>4</v>
      </c>
      <c r="AE83" s="30">
        <v>0.048500000000000001</v>
      </c>
      <c r="AF83" s="30">
        <v>3.7947271818530615</v>
      </c>
      <c r="AG83" s="30">
        <v>0.27000000000000002</v>
      </c>
      <c r="AH83" s="30">
        <v>0.13650000000000001</v>
      </c>
      <c r="AI83" s="30">
        <v>0.53700000000000014</v>
      </c>
      <c r="AJ83" s="30">
        <v>47.898981026720364</v>
      </c>
      <c r="AK83" s="30">
        <v>20.438084964268938</v>
      </c>
      <c r="AL83" s="30">
        <v>52.101018973279636</v>
      </c>
      <c r="AM83" s="30">
        <v>-1.78300353244328</v>
      </c>
      <c r="AN83" s="30">
        <v>-1.4613676662923325</v>
      </c>
      <c r="AO83" s="30">
        <v>0.091427627030074829</v>
      </c>
      <c r="AP83" s="30">
        <v>0.75</v>
      </c>
      <c r="AQ83" s="30">
        <v>0.82150000000000012</v>
      </c>
      <c r="AR83" s="30">
        <v>0.48399999999999999</v>
      </c>
      <c r="AS83" s="30">
        <v>0.32950000000000002</v>
      </c>
      <c r="AT83" s="30">
        <v>8.8093355291048301</v>
      </c>
      <c r="AU83" s="30">
        <v>18.306431675642362</v>
      </c>
      <c r="AV83" s="30">
        <v>5</v>
      </c>
      <c r="AW83" s="30">
        <v>0.050000000000000003</v>
      </c>
      <c r="AX83" s="30">
        <v>5.1654890333320393</v>
      </c>
      <c r="AY83" s="30">
        <v>0.24900000000000003</v>
      </c>
      <c r="AZ83" s="30">
        <v>0.088500000000000009</v>
      </c>
      <c r="BA83" s="30">
        <v>0.252</v>
      </c>
      <c r="BB83" s="30">
        <v>50.556956933777016</v>
      </c>
      <c r="BC83" s="30">
        <v>18.023951855351889</v>
      </c>
      <c r="BD83" s="30">
        <v>49.443043066222984</v>
      </c>
      <c r="BE83" s="30">
        <v>-1.4543129401023489</v>
      </c>
      <c r="BF83" s="30">
        <v>-1.4844274072592401</v>
      </c>
      <c r="BG83" s="30">
        <v>0.073159526605669337</v>
      </c>
      <c r="BH83" s="30">
        <v>0</v>
      </c>
      <c r="BI83" s="30">
        <v>0.88800000000000012</v>
      </c>
      <c r="BJ83" s="30">
        <v>0.63200000000000001</v>
      </c>
      <c r="BK83" s="30">
        <v>0.24900000000000003</v>
      </c>
      <c r="BL83" s="30">
        <v>16.597284777696714</v>
      </c>
      <c r="BM83" s="30">
        <v>26.827661472598749</v>
      </c>
      <c r="BN83" s="30">
        <v>6</v>
      </c>
      <c r="BO83" s="30">
        <v>0.027000000000000003</v>
      </c>
      <c r="BP83" s="30">
        <v>6.0679892594598233</v>
      </c>
      <c r="BQ83" s="30">
        <v>0.33150000000000002</v>
      </c>
      <c r="BR83" s="30">
        <v>0.126</v>
      </c>
      <c r="BS83" s="30">
        <v>0.29600000000000004</v>
      </c>
      <c r="BT83" s="30">
        <v>51.875880902043697</v>
      </c>
      <c r="BU83" s="30">
        <v>19.410676532769557</v>
      </c>
      <c r="BV83" s="30">
        <v>48.124119097956303</v>
      </c>
      <c r="BW83" s="30">
        <v>-1.4743599626407398</v>
      </c>
      <c r="BX83" s="30">
        <v>-1.5130038892737272</v>
      </c>
      <c r="BY83" s="30">
        <v>0.092049522075882462</v>
      </c>
      <c r="BZ83" s="30">
        <v>0</v>
      </c>
    </row>
    <row r="84" s="162" customFormat="1">
      <c r="A84" s="52" t="s">
        <v>138</v>
      </c>
      <c r="B84" s="51">
        <v>2</v>
      </c>
      <c r="C84" s="164">
        <v>10.09</v>
      </c>
      <c r="D84" s="165">
        <v>0.067209467448244575</v>
      </c>
      <c r="E84" s="49">
        <v>0.83423085760428695</v>
      </c>
      <c r="F84" s="49">
        <v>0.3452700732857964</v>
      </c>
      <c r="G84" s="30">
        <v>0.99600000000000011</v>
      </c>
      <c r="H84" s="30">
        <v>0.51450000000000007</v>
      </c>
      <c r="I84" s="30">
        <v>0.48150000000000004</v>
      </c>
      <c r="J84" s="30">
        <v>8.8752359771159526</v>
      </c>
      <c r="K84" s="30">
        <v>17.453075199465516</v>
      </c>
      <c r="L84" s="30">
        <v>3</v>
      </c>
      <c r="M84" s="30">
        <v>0.029999999999999999</v>
      </c>
      <c r="N84" s="30">
        <v>3.1442736537836913</v>
      </c>
      <c r="O84" s="30">
        <v>0.26550000000000001</v>
      </c>
      <c r="P84" s="30">
        <v>0.10200000000000001</v>
      </c>
      <c r="Q84" s="30">
        <v>0.24900000000000003</v>
      </c>
      <c r="R84" s="30">
        <v>51.206501831501825</v>
      </c>
      <c r="S84" s="30">
        <v>19.739774114774114</v>
      </c>
      <c r="T84" s="30">
        <v>48.793498168498175</v>
      </c>
      <c r="U84" s="30">
        <v>-1.4834685331361821</v>
      </c>
      <c r="V84" s="30">
        <v>-1.4790052572831414</v>
      </c>
      <c r="W84" s="30">
        <v>0.096570458152420324</v>
      </c>
      <c r="X84" s="30">
        <v>0</v>
      </c>
      <c r="Y84" s="97">
        <v>1.1967500000000002</v>
      </c>
      <c r="Z84" s="30">
        <v>0.72300000000000009</v>
      </c>
      <c r="AA84" s="30">
        <v>0.47375</v>
      </c>
      <c r="AB84" s="30">
        <v>17.198565278302567</v>
      </c>
      <c r="AC84" s="30">
        <v>23.861011590287742</v>
      </c>
      <c r="AD84" s="30">
        <v>4</v>
      </c>
      <c r="AE84" s="30">
        <v>0.045249999999999999</v>
      </c>
      <c r="AF84" s="30">
        <v>4.0983382051056534</v>
      </c>
      <c r="AG84" s="30">
        <v>0.39600000000000002</v>
      </c>
      <c r="AH84" s="30">
        <v>0.088500000000000009</v>
      </c>
      <c r="AI84" s="30">
        <v>0.32700000000000001</v>
      </c>
      <c r="AJ84" s="30">
        <v>55.441338736777787</v>
      </c>
      <c r="AK84" s="30">
        <v>12.114445621873447</v>
      </c>
      <c r="AL84" s="30">
        <v>44.558661263222206</v>
      </c>
      <c r="AM84" s="30">
        <v>-1.5886785212174306</v>
      </c>
      <c r="AN84" s="30">
        <v>-1.6274276576115494</v>
      </c>
      <c r="AO84" s="30">
        <v>0.15362748353438316</v>
      </c>
      <c r="AP84" s="30">
        <v>0.25</v>
      </c>
      <c r="AQ84" s="30">
        <v>1.149</v>
      </c>
      <c r="AR84" s="30">
        <v>0.73799999999999999</v>
      </c>
      <c r="AS84" s="30">
        <v>0.46200000000000008</v>
      </c>
      <c r="AT84" s="30">
        <v>9.0446501699943198</v>
      </c>
      <c r="AU84" s="30">
        <v>12.257853853867351</v>
      </c>
      <c r="AV84" s="30">
        <v>5</v>
      </c>
      <c r="AW84" s="30">
        <v>0.063</v>
      </c>
      <c r="AX84" s="30">
        <v>5.1824158899180226</v>
      </c>
      <c r="AY84" s="30">
        <v>0.30600000000000005</v>
      </c>
      <c r="AZ84" s="30">
        <v>0.10500000000000001</v>
      </c>
      <c r="BA84" s="30">
        <v>0.39300000000000002</v>
      </c>
      <c r="BB84" s="30">
        <v>45.771533793898683</v>
      </c>
      <c r="BC84" s="30">
        <v>15.189550297006448</v>
      </c>
      <c r="BD84" s="30">
        <v>54.228466206101317</v>
      </c>
      <c r="BE84" s="30">
        <v>-1.5839068399362537</v>
      </c>
      <c r="BF84" s="30">
        <v>-1.5640198023369385</v>
      </c>
      <c r="BG84" s="30">
        <v>0.085023061734763164</v>
      </c>
      <c r="BH84" s="30">
        <v>0.5</v>
      </c>
      <c r="BI84" s="30">
        <v>1.2395</v>
      </c>
      <c r="BJ84" s="30">
        <v>0.754</v>
      </c>
      <c r="BK84" s="30">
        <v>0.51800000000000002</v>
      </c>
      <c r="BL84" s="30">
        <v>17.063412157412021</v>
      </c>
      <c r="BM84" s="30">
        <v>23.661325606295538</v>
      </c>
      <c r="BN84" s="30">
        <v>6</v>
      </c>
      <c r="BO84" s="30">
        <v>0.067000000000000004</v>
      </c>
      <c r="BP84" s="30">
        <v>6.0891283191760666</v>
      </c>
      <c r="BQ84" s="30">
        <v>0.29700000000000004</v>
      </c>
      <c r="BR84" s="30">
        <v>0.07350000000000001</v>
      </c>
      <c r="BS84" s="30">
        <v>0.44600000000000001</v>
      </c>
      <c r="BT84" s="30">
        <v>41.508474453233042</v>
      </c>
      <c r="BU84" s="30">
        <v>10.655024610532843</v>
      </c>
      <c r="BV84" s="30">
        <v>58.491525546766958</v>
      </c>
      <c r="BW84" s="30">
        <v>-1.5094065875962817</v>
      </c>
      <c r="BX84" s="30">
        <v>-1.5395414921363453</v>
      </c>
      <c r="BY84" s="30">
        <v>0.1406899447040274</v>
      </c>
      <c r="BZ84" s="30">
        <v>0.5</v>
      </c>
    </row>
    <row r="85">
      <c r="A85" s="42" t="s">
        <v>139</v>
      </c>
      <c r="B85" s="43">
        <v>2</v>
      </c>
      <c r="C85" s="119">
        <v>10.1</v>
      </c>
      <c r="D85" s="120">
        <v>0.083900824088741541</v>
      </c>
      <c r="E85" s="30">
        <v>0.65707575258637485</v>
      </c>
      <c r="F85" s="30">
        <v>0.11114532103410812</v>
      </c>
      <c r="G85" s="30">
        <v>0.73200000000000021</v>
      </c>
      <c r="H85" s="30">
        <v>0.49800000000000005</v>
      </c>
      <c r="I85" s="30">
        <v>0.23399999999999999</v>
      </c>
      <c r="J85" s="30">
        <v>8.2649796055887474</v>
      </c>
      <c r="K85" s="30">
        <v>17.261980824612504</v>
      </c>
      <c r="L85" s="30">
        <v>3</v>
      </c>
      <c r="M85" s="30">
        <v>0.080000000000000002</v>
      </c>
      <c r="N85" s="30">
        <v>3.0413427793927439</v>
      </c>
      <c r="O85" s="30">
        <v>0.29200000000000004</v>
      </c>
      <c r="P85" s="30">
        <v>0.124</v>
      </c>
      <c r="Q85" s="30">
        <v>0.20599999999999999</v>
      </c>
      <c r="R85" s="30">
        <v>58.371320037986699</v>
      </c>
      <c r="S85" s="30">
        <v>23.795171689908532</v>
      </c>
      <c r="T85" s="30">
        <v>41.628679962013294</v>
      </c>
      <c r="U85" s="30">
        <v>-1.457733831188234</v>
      </c>
      <c r="V85" s="30">
        <v>-1.4944922157019018</v>
      </c>
      <c r="W85" s="30">
        <v>0.077817605678465185</v>
      </c>
      <c r="X85" s="30">
        <v>0</v>
      </c>
      <c r="Y85" s="97">
        <v>1.2915000000000001</v>
      </c>
      <c r="Z85" s="30">
        <v>0.94950000000000012</v>
      </c>
      <c r="AA85" s="30">
        <v>0.34200000000000003</v>
      </c>
      <c r="AB85" s="30">
        <v>17.089604152172139</v>
      </c>
      <c r="AC85" s="30">
        <v>18.677320999656363</v>
      </c>
      <c r="AD85" s="30">
        <v>4</v>
      </c>
      <c r="AE85" s="30">
        <v>0.043499999999999997</v>
      </c>
      <c r="AF85" s="30">
        <v>4.0735215549166401</v>
      </c>
      <c r="AG85" s="30">
        <v>0.48749999999999999</v>
      </c>
      <c r="AH85" s="30">
        <v>0.19500000000000001</v>
      </c>
      <c r="AI85" s="30">
        <v>0.46200000000000008</v>
      </c>
      <c r="AJ85" s="30">
        <v>52.17670059578311</v>
      </c>
      <c r="AK85" s="30">
        <v>21.338284825860487</v>
      </c>
      <c r="AL85" s="30">
        <v>47.823299404216897</v>
      </c>
      <c r="AM85" s="30">
        <v>-1.5776428990101641</v>
      </c>
      <c r="AN85" s="30">
        <v>-1.6696982073083357</v>
      </c>
      <c r="AO85" s="30">
        <v>0.17523982135759225</v>
      </c>
      <c r="AP85" s="30">
        <v>0.75</v>
      </c>
      <c r="AQ85" s="30">
        <v>0.93000000000000005</v>
      </c>
      <c r="AR85" s="30">
        <v>0.68400000000000005</v>
      </c>
      <c r="AS85" s="30">
        <v>0.29849999999999999</v>
      </c>
      <c r="AT85" s="30">
        <v>8.6126459776371682</v>
      </c>
      <c r="AU85" s="30">
        <v>12.974330680673114</v>
      </c>
      <c r="AV85" s="30">
        <v>5</v>
      </c>
      <c r="AW85" s="30">
        <v>0.052500000000000005</v>
      </c>
      <c r="AX85" s="30">
        <v>5.1265607107200335</v>
      </c>
      <c r="AY85" s="30">
        <v>0.27900000000000003</v>
      </c>
      <c r="AZ85" s="30">
        <v>0.11400000000000002</v>
      </c>
      <c r="BA85" s="30">
        <v>0.39000000000000007</v>
      </c>
      <c r="BB85" s="30">
        <v>44.920119730246313</v>
      </c>
      <c r="BC85" s="30">
        <v>17.653810090518949</v>
      </c>
      <c r="BD85" s="30">
        <v>55.079880269753701</v>
      </c>
      <c r="BE85" s="30">
        <v>-1.5069507218425802</v>
      </c>
      <c r="BF85" s="30">
        <v>-1.5199555797434663</v>
      </c>
      <c r="BG85" s="30">
        <v>0.10785624204339903</v>
      </c>
      <c r="BH85" s="30">
        <v>0.5</v>
      </c>
      <c r="BI85" s="30">
        <v>1.1767500000000002</v>
      </c>
      <c r="BJ85" s="30">
        <v>0.90800000000000003</v>
      </c>
      <c r="BK85" s="30">
        <v>0.31575000000000003</v>
      </c>
      <c r="BL85" s="30">
        <v>17.129797098383914</v>
      </c>
      <c r="BM85" s="30">
        <v>20.934544501518527</v>
      </c>
      <c r="BN85" s="30">
        <v>6</v>
      </c>
      <c r="BO85" s="30">
        <v>0.066750000000000004</v>
      </c>
      <c r="BP85" s="30">
        <v>6.0896985164093023</v>
      </c>
      <c r="BQ85" s="30">
        <v>0.38550000000000006</v>
      </c>
      <c r="BR85" s="30">
        <v>0.090000000000000011</v>
      </c>
      <c r="BS85" s="30">
        <v>0.50600000000000001</v>
      </c>
      <c r="BT85" s="30">
        <v>45.961032337436826</v>
      </c>
      <c r="BU85" s="30">
        <v>10.71358284139183</v>
      </c>
      <c r="BV85" s="30">
        <v>54.038967662563167</v>
      </c>
      <c r="BW85" s="30">
        <v>-1.5336100842988056</v>
      </c>
      <c r="BX85" s="30">
        <v>-1.588406668210516</v>
      </c>
      <c r="BY85" s="30">
        <v>0.23796098450183972</v>
      </c>
      <c r="BZ85" s="30">
        <v>0.5</v>
      </c>
    </row>
    <row r="86" s="162" customFormat="1">
      <c r="A86" s="52" t="s">
        <v>138</v>
      </c>
      <c r="B86" s="52">
        <v>2</v>
      </c>
      <c r="C86" s="166">
        <v>10.1</v>
      </c>
      <c r="D86" s="165">
        <v>0.12330781877206555</v>
      </c>
      <c r="E86" s="49">
        <v>0.40541397052701261</v>
      </c>
      <c r="F86" s="49">
        <v>0.36359772347321362</v>
      </c>
      <c r="G86" s="30">
        <v>0.76475000000000004</v>
      </c>
      <c r="H86" s="30">
        <v>0.47099999999999997</v>
      </c>
      <c r="I86" s="30">
        <v>0.29375000000000001</v>
      </c>
      <c r="J86" s="30">
        <v>9.0814622962031173</v>
      </c>
      <c r="K86" s="30">
        <v>19.378133543797045</v>
      </c>
      <c r="L86" s="30">
        <v>3</v>
      </c>
      <c r="M86" s="30">
        <v>0.069250000000000006</v>
      </c>
      <c r="N86" s="30">
        <v>3.1780003523667939</v>
      </c>
      <c r="O86" s="30">
        <v>0.21450000000000005</v>
      </c>
      <c r="P86" s="30">
        <v>0.083999999999999991</v>
      </c>
      <c r="Q86" s="30">
        <v>0.25650000000000001</v>
      </c>
      <c r="R86" s="30">
        <v>45.743485350355414</v>
      </c>
      <c r="S86" s="30">
        <v>17.894344444719309</v>
      </c>
      <c r="T86" s="30">
        <v>54.256514649644586</v>
      </c>
      <c r="U86" s="30">
        <v>-1.4089776540677843</v>
      </c>
      <c r="V86" s="30">
        <v>-1.4272516844124215</v>
      </c>
      <c r="W86" s="30">
        <v>0.060814177325561568</v>
      </c>
      <c r="X86" s="30">
        <v>0</v>
      </c>
      <c r="Y86" s="97">
        <v>0.96250000000000013</v>
      </c>
      <c r="Z86" s="30">
        <v>0.61349999999999993</v>
      </c>
      <c r="AA86" s="30">
        <v>0.34899999999999998</v>
      </c>
      <c r="AB86" s="30">
        <v>17.135515059307657</v>
      </c>
      <c r="AC86" s="30">
        <v>28.106977412547799</v>
      </c>
      <c r="AD86" s="30">
        <v>4</v>
      </c>
      <c r="AE86" s="30">
        <v>0.063500000000000001</v>
      </c>
      <c r="AF86" s="30">
        <v>4.0962053701618704</v>
      </c>
      <c r="AG86" s="30">
        <v>0.27600000000000002</v>
      </c>
      <c r="AH86" s="30">
        <v>0.11100000000000002</v>
      </c>
      <c r="AI86" s="30">
        <v>0.33750000000000002</v>
      </c>
      <c r="AJ86" s="30">
        <v>45.098571107468949</v>
      </c>
      <c r="AK86" s="30">
        <v>18.234326508227056</v>
      </c>
      <c r="AL86" s="30">
        <v>54.901428892531044</v>
      </c>
      <c r="AM86" s="30">
        <v>-1.4306664948624701</v>
      </c>
      <c r="AN86" s="30">
        <v>-1.5076154086755202</v>
      </c>
      <c r="AO86" s="30">
        <v>0.098021452878505708</v>
      </c>
      <c r="AP86" s="30">
        <v>0</v>
      </c>
      <c r="AQ86" s="30">
        <v>1.0210000000000001</v>
      </c>
      <c r="AR86" s="30">
        <v>0.60599999999999998</v>
      </c>
      <c r="AS86" s="30">
        <v>0.4405</v>
      </c>
      <c r="AT86" s="30">
        <v>8.8444866624949032</v>
      </c>
      <c r="AU86" s="30">
        <v>15.116944380670382</v>
      </c>
      <c r="AV86" s="30">
        <v>5</v>
      </c>
      <c r="AW86" s="30">
        <v>0.0395</v>
      </c>
      <c r="AX86" s="30">
        <v>5.1409318009491933</v>
      </c>
      <c r="AY86" s="30">
        <v>0.24900000000000003</v>
      </c>
      <c r="AZ86" s="30">
        <v>0.099000000000000019</v>
      </c>
      <c r="BA86" s="30">
        <v>0.34800000000000003</v>
      </c>
      <c r="BB86" s="30">
        <v>44.138288556227486</v>
      </c>
      <c r="BC86" s="30">
        <v>17.156984237136911</v>
      </c>
      <c r="BD86" s="30">
        <v>55.861711443772514</v>
      </c>
      <c r="BE86" s="30">
        <v>-1.4197491101271003</v>
      </c>
      <c r="BF86" s="30">
        <v>-1.461789902194464</v>
      </c>
      <c r="BG86" s="30">
        <v>0.072119383673222751</v>
      </c>
      <c r="BH86" s="30">
        <v>0.75</v>
      </c>
      <c r="BI86" s="30">
        <v>1.159</v>
      </c>
      <c r="BJ86" s="30">
        <v>1.3800000000000001</v>
      </c>
      <c r="BK86" s="30">
        <v>0.32050000000000001</v>
      </c>
      <c r="BL86" s="30">
        <v>18.287114097249663</v>
      </c>
      <c r="BM86" s="30">
        <v>13.25153195452874</v>
      </c>
      <c r="BN86" s="30">
        <v>6</v>
      </c>
      <c r="BO86" s="30">
        <v>0.066500000000000004</v>
      </c>
      <c r="BP86" s="30">
        <v>6.1205412408742168</v>
      </c>
      <c r="BQ86" s="30">
        <v>0.28650000000000003</v>
      </c>
      <c r="BR86" s="30">
        <v>0.084000000000000019</v>
      </c>
      <c r="BS86" s="30">
        <v>1.0920000000000001</v>
      </c>
      <c r="BT86" s="30">
        <v>38.073375671714707</v>
      </c>
      <c r="BU86" s="30">
        <v>11.304787493893503</v>
      </c>
      <c r="BV86" s="30">
        <v>61.926624328285286</v>
      </c>
      <c r="BW86" s="30">
        <v>-1.4114928968232952</v>
      </c>
      <c r="BX86" s="30">
        <v>-1.5211835284965076</v>
      </c>
      <c r="BY86" s="30">
        <v>0.16383462378028726</v>
      </c>
      <c r="BZ86" s="30">
        <v>1</v>
      </c>
    </row>
    <row r="87" s="162" customFormat="1">
      <c r="A87" s="52" t="s">
        <v>138</v>
      </c>
      <c r="B87" s="52">
        <v>2</v>
      </c>
      <c r="C87" s="166">
        <v>10.109999999999999</v>
      </c>
      <c r="D87" s="165">
        <v>0.21135491331179901</v>
      </c>
      <c r="E87" s="49">
        <v>0.56469381165398769</v>
      </c>
      <c r="F87" s="49">
        <v>0.40749845220938108</v>
      </c>
      <c r="G87" s="30">
        <v>1.2557499999999999</v>
      </c>
      <c r="H87" s="30">
        <v>0.76150000000000007</v>
      </c>
      <c r="I87" s="30">
        <v>0.49424999999999997</v>
      </c>
      <c r="J87" s="30">
        <v>8.9630568886162187</v>
      </c>
      <c r="K87" s="30">
        <v>11.904045127088065</v>
      </c>
      <c r="L87" s="30">
        <v>3</v>
      </c>
      <c r="M87" s="30">
        <v>0.043749999999999997</v>
      </c>
      <c r="N87" s="30">
        <v>3.1572140876900829</v>
      </c>
      <c r="O87" s="30">
        <v>0.31824999999999998</v>
      </c>
      <c r="P87" s="30">
        <v>0.18525</v>
      </c>
      <c r="Q87" s="30">
        <v>0.44325000000000003</v>
      </c>
      <c r="R87" s="30">
        <v>43.140679025715521</v>
      </c>
      <c r="S87" s="30">
        <v>25.158699572933148</v>
      </c>
      <c r="T87" s="30">
        <v>56.859320974284479</v>
      </c>
      <c r="U87" s="30">
        <v>-1.4721614039393036</v>
      </c>
      <c r="V87" s="30">
        <v>-1.50250206025399</v>
      </c>
      <c r="W87" s="30">
        <v>0.08519936715991247</v>
      </c>
      <c r="X87" s="30">
        <v>0.5</v>
      </c>
      <c r="Y87" s="97">
        <v>1.5277500000000002</v>
      </c>
      <c r="Z87" s="30">
        <v>1.0245000000000002</v>
      </c>
      <c r="AA87" s="30">
        <v>0.50325000000000009</v>
      </c>
      <c r="AB87" s="30">
        <v>16.948030835193155</v>
      </c>
      <c r="AC87" s="30">
        <v>16.608746843996819</v>
      </c>
      <c r="AD87" s="30">
        <v>4</v>
      </c>
      <c r="AE87" s="30">
        <v>0.04725</v>
      </c>
      <c r="AF87" s="30">
        <v>4.0762902467493412</v>
      </c>
      <c r="AG87" s="30">
        <v>0.3795</v>
      </c>
      <c r="AH87" s="30">
        <v>0.10350000000000001</v>
      </c>
      <c r="AI87" s="30">
        <v>0.64500000000000002</v>
      </c>
      <c r="AJ87" s="30">
        <v>36.995522630226247</v>
      </c>
      <c r="AK87" s="30">
        <v>10.188462671635401</v>
      </c>
      <c r="AL87" s="30">
        <v>63.00447736977376</v>
      </c>
      <c r="AM87" s="30">
        <v>-1.5494262548713789</v>
      </c>
      <c r="AN87" s="30">
        <v>-1.6395265957984069</v>
      </c>
      <c r="AO87" s="30">
        <v>0.18766882626781181</v>
      </c>
      <c r="AP87" s="30">
        <v>1.25</v>
      </c>
      <c r="AQ87" s="30">
        <v>1.3467500000000001</v>
      </c>
      <c r="AR87" s="30">
        <v>1.0470000000000002</v>
      </c>
      <c r="AS87" s="30">
        <v>0.29975000000000002</v>
      </c>
      <c r="AT87" s="30">
        <v>9.0275524963867273</v>
      </c>
      <c r="AU87" s="30">
        <v>9.2451456756286312</v>
      </c>
      <c r="AV87" s="30">
        <v>5</v>
      </c>
      <c r="AW87" s="30">
        <v>0.058750000000000004</v>
      </c>
      <c r="AX87" s="30">
        <v>5.1660230017284041</v>
      </c>
      <c r="AY87" s="30">
        <v>0.46200000000000002</v>
      </c>
      <c r="AZ87" s="30">
        <v>0.094500000000000015</v>
      </c>
      <c r="BA87" s="30">
        <v>0.58499999999999996</v>
      </c>
      <c r="BB87" s="30">
        <v>42.28449737501137</v>
      </c>
      <c r="BC87" s="30">
        <v>10.377979486860321</v>
      </c>
      <c r="BD87" s="30">
        <v>57.71550262498863</v>
      </c>
      <c r="BE87" s="30">
        <v>-1.5639110806665575</v>
      </c>
      <c r="BF87" s="30">
        <v>-1.7646553839805557</v>
      </c>
      <c r="BG87" s="30">
        <v>0.072250181526376384</v>
      </c>
      <c r="BH87" s="30">
        <v>1</v>
      </c>
      <c r="BI87" s="30">
        <v>2.0332500000000002</v>
      </c>
      <c r="BJ87" s="30">
        <v>1.3425</v>
      </c>
      <c r="BK87" s="30">
        <v>0.69075000000000009</v>
      </c>
      <c r="BL87" s="30">
        <v>17.036138139988559</v>
      </c>
      <c r="BM87" s="30">
        <v>13.701500404402548</v>
      </c>
      <c r="BN87" s="30">
        <v>6</v>
      </c>
      <c r="BO87" s="30">
        <v>0.057750000000000003</v>
      </c>
      <c r="BP87" s="30">
        <v>6.0752016975672314</v>
      </c>
      <c r="BQ87" s="30">
        <v>0.43950000000000006</v>
      </c>
      <c r="BR87" s="30">
        <v>0.21300000000000002</v>
      </c>
      <c r="BS87" s="30">
        <v>0.90300000000000014</v>
      </c>
      <c r="BT87" s="30">
        <v>33.561419061374245</v>
      </c>
      <c r="BU87" s="30">
        <v>15.025135298902669</v>
      </c>
      <c r="BV87" s="30">
        <v>66.438580938625762</v>
      </c>
      <c r="BW87" s="30">
        <v>-1.5892056618390302</v>
      </c>
      <c r="BX87" s="30">
        <v>-1.6282421775083247</v>
      </c>
      <c r="BY87" s="30">
        <v>0.14028265127200659</v>
      </c>
      <c r="BZ87" s="30">
        <v>1.5</v>
      </c>
    </row>
    <row r="88" s="162" customFormat="1">
      <c r="A88" s="52" t="s">
        <v>138</v>
      </c>
      <c r="B88" s="52">
        <v>2</v>
      </c>
      <c r="C88" s="169">
        <v>11</v>
      </c>
      <c r="D88" s="165">
        <v>0.04713626261998425</v>
      </c>
      <c r="E88" s="49">
        <v>0.59958027487721688</v>
      </c>
      <c r="F88" s="49">
        <v>0.21106008006414234</v>
      </c>
      <c r="G88" s="30">
        <v>0.66100000000000003</v>
      </c>
      <c r="H88" s="30"/>
      <c r="I88" s="30">
        <v>0.15100000000000002</v>
      </c>
      <c r="J88" s="30"/>
      <c r="K88" s="30"/>
      <c r="L88" s="30">
        <v>3</v>
      </c>
      <c r="M88" s="30">
        <v>0.049500000000000002</v>
      </c>
      <c r="N88" s="30">
        <v>3.3101469153040632</v>
      </c>
      <c r="O88" s="30">
        <v>0.29400000000000004</v>
      </c>
      <c r="P88" s="30">
        <v>0.10800000000000001</v>
      </c>
      <c r="Q88" s="30"/>
      <c r="R88" s="30">
        <v>57.64705882352942</v>
      </c>
      <c r="S88" s="30">
        <v>21.176470588235293</v>
      </c>
      <c r="T88" s="30">
        <v>42.35294117647058</v>
      </c>
      <c r="U88" s="30">
        <v>-1.467205905253222</v>
      </c>
      <c r="V88" s="30">
        <v>-1.5002976510514168</v>
      </c>
      <c r="W88" s="30">
        <v>0.061913741051816226</v>
      </c>
      <c r="X88" s="30">
        <v>0</v>
      </c>
      <c r="Y88" s="97">
        <v>0.94000000000000006</v>
      </c>
      <c r="Z88" s="30">
        <v>0.64800000000000002</v>
      </c>
      <c r="AA88" s="30">
        <v>0.29200000000000004</v>
      </c>
      <c r="AB88" s="30">
        <v>17.891092142894902</v>
      </c>
      <c r="AC88" s="30">
        <v>27.609710097060031</v>
      </c>
      <c r="AD88" s="30">
        <v>4</v>
      </c>
      <c r="AE88" s="30">
        <v>0.043999999999999997</v>
      </c>
      <c r="AF88" s="30">
        <v>4.1555894171939451</v>
      </c>
      <c r="AG88" s="30">
        <v>0.32400000000000001</v>
      </c>
      <c r="AH88" s="30">
        <v>0.18000000000000002</v>
      </c>
      <c r="AI88" s="30">
        <v>0.32400000000000001</v>
      </c>
      <c r="AJ88" s="30">
        <v>49.999999999999993</v>
      </c>
      <c r="AK88" s="30">
        <v>27.777777777777782</v>
      </c>
      <c r="AL88" s="30">
        <v>49.999999999999993</v>
      </c>
      <c r="AM88" s="30">
        <v>-1.4049755668959447</v>
      </c>
      <c r="AN88" s="30">
        <v>-1.472413706422127</v>
      </c>
      <c r="AO88" s="30">
        <v>0.130730515251927</v>
      </c>
      <c r="AP88" s="30">
        <v>0</v>
      </c>
      <c r="AQ88" s="30">
        <v>0.83099999999999996</v>
      </c>
      <c r="AR88" s="30"/>
      <c r="AS88" s="30">
        <v>0.26700000000000002</v>
      </c>
      <c r="AT88" s="30"/>
      <c r="AU88" s="30"/>
      <c r="AV88" s="30">
        <v>5</v>
      </c>
      <c r="AW88" s="30">
        <v>0.041999999999999996</v>
      </c>
      <c r="AX88" s="30">
        <v>5.19861542482621</v>
      </c>
      <c r="AY88" s="30">
        <v>0.22800000000000001</v>
      </c>
      <c r="AZ88" s="30">
        <v>0.090000000000000011</v>
      </c>
      <c r="BA88" s="30"/>
      <c r="BB88" s="30">
        <v>41.002747252747255</v>
      </c>
      <c r="BC88" s="30">
        <v>16.025641025641026</v>
      </c>
      <c r="BD88" s="30">
        <v>58.997252747252752</v>
      </c>
      <c r="BE88" s="30">
        <v>-1.4098547399245416</v>
      </c>
      <c r="BF88" s="30">
        <v>-1.4525342645775083</v>
      </c>
      <c r="BG88" s="30">
        <v>0.21540167492958587</v>
      </c>
      <c r="BH88" s="30">
        <v>0</v>
      </c>
      <c r="BI88" s="30">
        <v>0.85799999999999998</v>
      </c>
      <c r="BJ88" s="30"/>
      <c r="BK88" s="30">
        <v>0.312</v>
      </c>
      <c r="BL88" s="30"/>
      <c r="BM88" s="30"/>
      <c r="BN88" s="30">
        <v>6</v>
      </c>
      <c r="BO88" s="30">
        <v>0.051250000000000004</v>
      </c>
      <c r="BP88" s="30">
        <v>6.1081826547467672</v>
      </c>
      <c r="BQ88" s="30">
        <v>0.26400000000000001</v>
      </c>
      <c r="BR88" s="30">
        <v>0.14400000000000002</v>
      </c>
      <c r="BS88" s="30"/>
      <c r="BT88" s="30">
        <v>48.35164835164835</v>
      </c>
      <c r="BU88" s="30">
        <v>26.373626373626376</v>
      </c>
      <c r="BV88" s="30">
        <v>51.64835164835165</v>
      </c>
      <c r="BW88" s="30">
        <v>-1.4091856934312179</v>
      </c>
      <c r="BX88" s="30">
        <v>-1.4448973568682164</v>
      </c>
      <c r="BY88" s="30">
        <v>0.14402418758184113</v>
      </c>
      <c r="BZ88" s="30">
        <v>0</v>
      </c>
    </row>
    <row r="89">
      <c r="A89" s="43" t="s">
        <v>139</v>
      </c>
      <c r="B89" s="43">
        <v>1</v>
      </c>
      <c r="C89" s="132">
        <v>11</v>
      </c>
      <c r="D89" s="120">
        <v>0.15340738623274272</v>
      </c>
      <c r="E89" s="30">
        <v>1.4237386775205791</v>
      </c>
      <c r="F89" s="30">
        <v>0.014730543052098866</v>
      </c>
      <c r="G89" s="30">
        <v>1.4437500000000001</v>
      </c>
      <c r="H89" s="30">
        <v>1.1340000000000001</v>
      </c>
      <c r="I89" s="30">
        <v>0.30975000000000003</v>
      </c>
      <c r="J89" s="30">
        <v>8.682189202725219</v>
      </c>
      <c r="K89" s="30">
        <v>7.7717728667325101</v>
      </c>
      <c r="L89" s="30">
        <v>3</v>
      </c>
      <c r="M89" s="30">
        <v>0.045749999999999999</v>
      </c>
      <c r="N89" s="30">
        <v>3.1045470132086361</v>
      </c>
      <c r="O89" s="30">
        <v>0.62550000000000006</v>
      </c>
      <c r="P89" s="30">
        <v>0.30149999999999999</v>
      </c>
      <c r="Q89" s="30">
        <v>0.50849999999999995</v>
      </c>
      <c r="R89" s="30">
        <v>54.697587760906529</v>
      </c>
      <c r="S89" s="30">
        <v>26.82989982037617</v>
      </c>
      <c r="T89" s="30">
        <v>45.302412239093471</v>
      </c>
      <c r="U89" s="30">
        <v>-1.5640670958409033</v>
      </c>
      <c r="V89" s="30">
        <v>-1.7149696749316903</v>
      </c>
      <c r="W89" s="30">
        <v>0.063900747306966779</v>
      </c>
      <c r="X89" s="30">
        <v>1</v>
      </c>
      <c r="Y89" s="97">
        <v>3.1165000000000003</v>
      </c>
      <c r="Z89" s="30">
        <v>1.3095000000000003</v>
      </c>
      <c r="AA89" s="30">
        <v>1.8069999999999999</v>
      </c>
      <c r="AB89" s="30">
        <v>17.323638826909111</v>
      </c>
      <c r="AC89" s="30">
        <v>13.552530396572951</v>
      </c>
      <c r="AD89" s="30">
        <v>4</v>
      </c>
      <c r="AE89" s="30">
        <v>0.045499999999999999</v>
      </c>
      <c r="AF89" s="30">
        <v>4.0974750812152223</v>
      </c>
      <c r="AG89" s="30">
        <v>0.79200000000000004</v>
      </c>
      <c r="AH89" s="30">
        <v>0.318</v>
      </c>
      <c r="AI89" s="30">
        <v>0.51750000000000007</v>
      </c>
      <c r="AJ89" s="30">
        <v>58.760015857626016</v>
      </c>
      <c r="AK89" s="30">
        <v>24.247127309611024</v>
      </c>
      <c r="AL89" s="30">
        <v>41.239984142373984</v>
      </c>
      <c r="AM89" s="30">
        <v>-1.6206931822585873</v>
      </c>
      <c r="AN89" s="30">
        <v>-1.7202711131863215</v>
      </c>
      <c r="AO89" s="30">
        <v>0.15150098958814601</v>
      </c>
      <c r="AP89" s="30">
        <v>1</v>
      </c>
      <c r="AQ89" s="30">
        <v>1.4120000000000001</v>
      </c>
      <c r="AR89" s="30">
        <v>1.0980000000000001</v>
      </c>
      <c r="AS89" s="30">
        <v>0.314</v>
      </c>
      <c r="AT89" s="30">
        <v>8.7124164610523778</v>
      </c>
      <c r="AU89" s="30">
        <v>8.0793900941845536</v>
      </c>
      <c r="AV89" s="30">
        <v>5</v>
      </c>
      <c r="AW89" s="30">
        <v>0.044499999999999998</v>
      </c>
      <c r="AX89" s="30">
        <v>5.114038463296394</v>
      </c>
      <c r="AY89" s="30">
        <v>0.56100000000000005</v>
      </c>
      <c r="AZ89" s="30">
        <v>0.27600000000000002</v>
      </c>
      <c r="BA89" s="30">
        <v>0.53700000000000003</v>
      </c>
      <c r="BB89" s="30">
        <v>50.858286242536714</v>
      </c>
      <c r="BC89" s="30">
        <v>24.094751548261986</v>
      </c>
      <c r="BD89" s="30">
        <v>49.141713757463286</v>
      </c>
      <c r="BE89" s="30">
        <v>-1.5679399432669499</v>
      </c>
      <c r="BF89" s="30">
        <v>-1.706394453715081</v>
      </c>
      <c r="BG89" s="30">
        <v>0.1054149162452728</v>
      </c>
      <c r="BH89" s="30">
        <v>0.5</v>
      </c>
      <c r="BI89" s="30">
        <v>2.5475000000000003</v>
      </c>
      <c r="BJ89" s="30">
        <v>2.0910000000000002</v>
      </c>
      <c r="BK89" s="30">
        <v>0.45650000000000002</v>
      </c>
      <c r="BL89" s="30">
        <v>17.415944265716782</v>
      </c>
      <c r="BM89" s="30">
        <v>9.1365261661826445</v>
      </c>
      <c r="BN89" s="30">
        <v>6</v>
      </c>
      <c r="BO89" s="30">
        <v>0.045999999999999999</v>
      </c>
      <c r="BP89" s="30">
        <v>6.0976244628434317</v>
      </c>
      <c r="BQ89" s="30">
        <v>0.94499999999999995</v>
      </c>
      <c r="BR89" s="30">
        <v>0.45450000000000002</v>
      </c>
      <c r="BS89" s="30">
        <v>1.1460000000000001</v>
      </c>
      <c r="BT89" s="30">
        <v>42.144442636322566</v>
      </c>
      <c r="BU89" s="30">
        <v>20.003748006900793</v>
      </c>
      <c r="BV89" s="30">
        <v>57.855557363677448</v>
      </c>
      <c r="BW89" s="30">
        <v>-1.7011321453742159</v>
      </c>
      <c r="BX89" s="30">
        <v>-1.7494565638244919</v>
      </c>
      <c r="BY89" s="30">
        <v>0.23242698542220955</v>
      </c>
      <c r="BZ89" s="30">
        <v>3</v>
      </c>
    </row>
    <row r="90">
      <c r="A90" s="42" t="s">
        <v>139</v>
      </c>
      <c r="B90" s="43">
        <v>1</v>
      </c>
      <c r="C90" s="119">
        <v>11.01</v>
      </c>
      <c r="D90" s="120">
        <v>0.12885783687297239</v>
      </c>
      <c r="E90" s="30">
        <v>0.73138576293473279</v>
      </c>
      <c r="F90" s="30">
        <v>0.27924291250727828</v>
      </c>
      <c r="G90" s="30">
        <v>1.12775</v>
      </c>
      <c r="H90" s="30">
        <v>0.80099999999999993</v>
      </c>
      <c r="I90" s="30">
        <v>0.32675000000000004</v>
      </c>
      <c r="J90" s="30">
        <v>8.6197243719561385</v>
      </c>
      <c r="K90" s="30">
        <v>10.929203104959686</v>
      </c>
      <c r="L90" s="30">
        <v>3</v>
      </c>
      <c r="M90" s="30">
        <v>0.03925</v>
      </c>
      <c r="N90" s="30">
        <v>3.0754020557388753</v>
      </c>
      <c r="O90" s="30">
        <v>0.38100000000000001</v>
      </c>
      <c r="P90" s="30">
        <v>0.19350000000000001</v>
      </c>
      <c r="Q90" s="30">
        <v>0.42000000000000004</v>
      </c>
      <c r="R90" s="30">
        <v>47.064262692750596</v>
      </c>
      <c r="S90" s="30">
        <v>24.76507934885559</v>
      </c>
      <c r="T90" s="30">
        <v>52.935737307249397</v>
      </c>
      <c r="U90" s="30">
        <v>-1.6375374393015441</v>
      </c>
      <c r="V90" s="30">
        <v>-1.669034564599307</v>
      </c>
      <c r="W90" s="30">
        <v>0.19942678761075394</v>
      </c>
      <c r="X90" s="30">
        <v>0.5</v>
      </c>
      <c r="Y90" s="97">
        <v>1.3295000000000001</v>
      </c>
      <c r="Z90" s="30">
        <v>0.96000000000000019</v>
      </c>
      <c r="AA90" s="30">
        <v>0.36950000000000005</v>
      </c>
      <c r="AB90" s="30">
        <v>16.518800113727437</v>
      </c>
      <c r="AC90" s="30">
        <v>18.806367709083247</v>
      </c>
      <c r="AD90" s="30">
        <v>4</v>
      </c>
      <c r="AE90" s="30">
        <v>0.035500000000000004</v>
      </c>
      <c r="AF90" s="30">
        <v>4.0381083139149334</v>
      </c>
      <c r="AG90" s="30">
        <v>0.39600000000000002</v>
      </c>
      <c r="AH90" s="30">
        <v>0.12000000000000002</v>
      </c>
      <c r="AI90" s="30">
        <v>0.56400000000000006</v>
      </c>
      <c r="AJ90" s="30">
        <v>40.192396427861546</v>
      </c>
      <c r="AK90" s="30">
        <v>12.02414671891416</v>
      </c>
      <c r="AL90" s="30">
        <v>59.807603572138454</v>
      </c>
      <c r="AM90" s="30">
        <v>-1.4909883538557731</v>
      </c>
      <c r="AN90" s="30">
        <v>-1.6092685258421926</v>
      </c>
      <c r="AO90" s="30">
        <v>0.28450225613613284</v>
      </c>
      <c r="AP90" s="30">
        <v>1.25</v>
      </c>
      <c r="AQ90" s="30">
        <v>1.2257500000000001</v>
      </c>
      <c r="AR90" s="30">
        <v>1.0665</v>
      </c>
      <c r="AS90" s="30">
        <v>0.15925000000000003</v>
      </c>
      <c r="AT90" s="30">
        <v>8.6154332544198837</v>
      </c>
      <c r="AU90" s="30">
        <v>8.1587187367731584</v>
      </c>
      <c r="AV90" s="30">
        <v>5</v>
      </c>
      <c r="AW90" s="30">
        <v>0.076249999999999998</v>
      </c>
      <c r="AX90" s="30">
        <v>5.099078737287801</v>
      </c>
      <c r="AY90" s="30">
        <v>0.36900000000000005</v>
      </c>
      <c r="AZ90" s="30">
        <v>0.07350000000000001</v>
      </c>
      <c r="BA90" s="30">
        <v>0.69750000000000001</v>
      </c>
      <c r="BB90" s="30">
        <v>35.504716099389412</v>
      </c>
      <c r="BC90" s="30">
        <v>6.9512315391188793</v>
      </c>
      <c r="BD90" s="30">
        <v>64.495283900610588</v>
      </c>
      <c r="BE90" s="30">
        <v>-1.6335520337007849</v>
      </c>
      <c r="BF90" s="30">
        <v>-1.719159485582392</v>
      </c>
      <c r="BG90" s="30">
        <v>0.10025468117485629</v>
      </c>
      <c r="BH90" s="30">
        <v>1</v>
      </c>
      <c r="BI90" s="30">
        <v>1.6216666666666668</v>
      </c>
      <c r="BJ90" s="30">
        <v>1.23</v>
      </c>
      <c r="BK90" s="30">
        <v>0.39166666666666666</v>
      </c>
      <c r="BL90" s="30">
        <v>17.083698905905031</v>
      </c>
      <c r="BM90" s="30">
        <v>14.519851848678703</v>
      </c>
      <c r="BN90" s="30">
        <v>6</v>
      </c>
      <c r="BO90" s="30">
        <v>0.051250000000000004</v>
      </c>
      <c r="BP90" s="30">
        <v>6.0859668537360276</v>
      </c>
      <c r="BQ90" s="30">
        <v>0.35600000000000004</v>
      </c>
      <c r="BR90" s="30">
        <v>0.106</v>
      </c>
      <c r="BS90" s="30">
        <v>0.874</v>
      </c>
      <c r="BT90" s="30">
        <v>29.27887012410142</v>
      </c>
      <c r="BU90" s="30">
        <v>8.8972287944303936</v>
      </c>
      <c r="BV90" s="30">
        <v>70.721129875898569</v>
      </c>
      <c r="BW90" s="30">
        <v>-1.5070911271072154</v>
      </c>
      <c r="BX90" s="30">
        <v>-1.566645906293255</v>
      </c>
      <c r="BY90" s="30">
        <v>0.27556945909787151</v>
      </c>
      <c r="BZ90" s="30">
        <v>1.6666666666666667</v>
      </c>
    </row>
    <row r="91">
      <c r="A91" s="42" t="s">
        <v>139</v>
      </c>
      <c r="B91" s="43">
        <v>1</v>
      </c>
      <c r="C91" s="119">
        <v>11.02</v>
      </c>
      <c r="D91" s="120">
        <v>0.18550493713790142</v>
      </c>
      <c r="E91" s="30">
        <v>0.32937945823032905</v>
      </c>
      <c r="F91" s="30">
        <v>0.53438051197137404</v>
      </c>
      <c r="G91" s="30">
        <v>0.94050000000000011</v>
      </c>
      <c r="H91" s="30">
        <v>0.78900000000000003</v>
      </c>
      <c r="I91" s="30">
        <v>0.15150000000000002</v>
      </c>
      <c r="J91" s="30">
        <v>8.7216160643093019</v>
      </c>
      <c r="K91" s="30">
        <v>11.296083942770522</v>
      </c>
      <c r="L91" s="30">
        <v>3</v>
      </c>
      <c r="M91" s="30">
        <v>0.057000000000000009</v>
      </c>
      <c r="N91" s="30">
        <v>3.1169297529655839</v>
      </c>
      <c r="O91" s="30">
        <v>0.40200000000000002</v>
      </c>
      <c r="P91" s="30">
        <v>0.2475</v>
      </c>
      <c r="Q91" s="30">
        <v>0.38700000000000007</v>
      </c>
      <c r="R91" s="30">
        <v>50.092995267010174</v>
      </c>
      <c r="S91" s="30">
        <v>29.193814972030054</v>
      </c>
      <c r="T91" s="30">
        <v>49.907004732989826</v>
      </c>
      <c r="U91" s="30">
        <v>-1.4720376334693293</v>
      </c>
      <c r="V91" s="30">
        <v>-1.5860710643449314</v>
      </c>
      <c r="W91" s="30">
        <v>0.086746829992650432</v>
      </c>
      <c r="X91" s="30">
        <v>0.5</v>
      </c>
      <c r="Y91" s="97">
        <v>1.14575</v>
      </c>
      <c r="Z91" s="30">
        <v>1.0710000000000002</v>
      </c>
      <c r="AA91" s="30">
        <v>0.074749999999999997</v>
      </c>
      <c r="AB91" s="30">
        <v>16.891355484052621</v>
      </c>
      <c r="AC91" s="30">
        <v>16.198450264340952</v>
      </c>
      <c r="AD91" s="30">
        <v>4</v>
      </c>
      <c r="AE91" s="30">
        <v>0.07825</v>
      </c>
      <c r="AF91" s="30">
        <v>4.0703372618325568</v>
      </c>
      <c r="AG91" s="30">
        <v>0.55649999999999999</v>
      </c>
      <c r="AH91" s="30">
        <v>0.2205</v>
      </c>
      <c r="AI91" s="30">
        <v>0.51449999999999996</v>
      </c>
      <c r="AJ91" s="30">
        <v>50.815885790174967</v>
      </c>
      <c r="AK91" s="30">
        <v>19.962144491031363</v>
      </c>
      <c r="AL91" s="30">
        <v>49.18411420982504</v>
      </c>
      <c r="AM91" s="30">
        <v>-1.5007240716345973</v>
      </c>
      <c r="AN91" s="30">
        <v>-1.614290687442016</v>
      </c>
      <c r="AO91" s="30">
        <v>0.10650813281150999</v>
      </c>
      <c r="AP91" s="30">
        <v>1</v>
      </c>
      <c r="AQ91" s="30">
        <v>1.0465</v>
      </c>
      <c r="AR91" s="30">
        <v>0.77550000000000008</v>
      </c>
      <c r="AS91" s="30">
        <v>0.27100000000000002</v>
      </c>
      <c r="AT91" s="30">
        <v>8.8775188541689207</v>
      </c>
      <c r="AU91" s="30">
        <v>11.525830699390987</v>
      </c>
      <c r="AV91" s="30">
        <v>5</v>
      </c>
      <c r="AW91" s="30">
        <v>0.037999999999999999</v>
      </c>
      <c r="AX91" s="30">
        <v>5.1437272176180482</v>
      </c>
      <c r="AY91" s="30">
        <v>0.25950000000000001</v>
      </c>
      <c r="AZ91" s="30">
        <v>0.11549999999999998</v>
      </c>
      <c r="BA91" s="30">
        <v>0.51600000000000001</v>
      </c>
      <c r="BB91" s="30">
        <v>33.773914906700838</v>
      </c>
      <c r="BC91" s="30">
        <v>14.947524753625107</v>
      </c>
      <c r="BD91" s="30">
        <v>66.226085093299162</v>
      </c>
      <c r="BE91" s="30">
        <v>-1.4796080375457974</v>
      </c>
      <c r="BF91" s="30">
        <v>-1.4767947281437164</v>
      </c>
      <c r="BG91" s="30">
        <v>0.076186623330179948</v>
      </c>
      <c r="BH91" s="30">
        <v>1</v>
      </c>
      <c r="BI91" s="30">
        <v>1.6009999999999998</v>
      </c>
      <c r="BJ91" s="30">
        <v>1.395</v>
      </c>
      <c r="BK91" s="30">
        <v>0.20600000000000002</v>
      </c>
      <c r="BL91" s="30">
        <v>17.058465667752351</v>
      </c>
      <c r="BM91" s="30">
        <v>12.84518765048241</v>
      </c>
      <c r="BN91" s="30">
        <v>6</v>
      </c>
      <c r="BO91" s="30">
        <v>0.042999999999999997</v>
      </c>
      <c r="BP91" s="30">
        <v>6.0848615382532039</v>
      </c>
      <c r="BQ91" s="30">
        <v>0.54000000000000004</v>
      </c>
      <c r="BR91" s="30">
        <v>0.33600000000000002</v>
      </c>
      <c r="BS91" s="30">
        <v>0.85500000000000009</v>
      </c>
      <c r="BT91" s="30">
        <v>37.492422892171007</v>
      </c>
      <c r="BU91" s="30">
        <v>21.702480594906802</v>
      </c>
      <c r="BV91" s="30">
        <v>62.507577107828993</v>
      </c>
      <c r="BW91" s="30">
        <v>-1.5614576884039757</v>
      </c>
      <c r="BX91" s="30">
        <v>-1.6315299121576694</v>
      </c>
      <c r="BY91" s="30">
        <v>0.11814008405050777</v>
      </c>
      <c r="BZ91" s="30">
        <v>1.25</v>
      </c>
    </row>
    <row r="92">
      <c r="A92" s="42" t="s">
        <v>139</v>
      </c>
      <c r="B92" s="43">
        <v>1</v>
      </c>
      <c r="C92" s="119">
        <v>11.039999999999999</v>
      </c>
      <c r="D92" s="120">
        <v>0.15634754163907671</v>
      </c>
      <c r="E92" s="30">
        <v>0.38318014520836619</v>
      </c>
      <c r="F92" s="30">
        <v>0.45978311683316342</v>
      </c>
      <c r="G92" s="30">
        <v>0.87625000000000008</v>
      </c>
      <c r="H92" s="30">
        <v>0.78300000000000003</v>
      </c>
      <c r="I92" s="30">
        <v>0.093250000000000013</v>
      </c>
      <c r="J92" s="30">
        <v>9.1783594868679756</v>
      </c>
      <c r="K92" s="30">
        <v>11.791122617699047</v>
      </c>
      <c r="L92" s="30">
        <v>3</v>
      </c>
      <c r="M92" s="30">
        <v>0.047750000000000001</v>
      </c>
      <c r="N92" s="30">
        <v>3.1891441576908965</v>
      </c>
      <c r="O92" s="30">
        <v>0.34650000000000003</v>
      </c>
      <c r="P92" s="30">
        <v>0.153</v>
      </c>
      <c r="Q92" s="30">
        <v>0.4365</v>
      </c>
      <c r="R92" s="30">
        <v>44.138748064030352</v>
      </c>
      <c r="S92" s="30">
        <v>19.433263307949133</v>
      </c>
      <c r="T92" s="30">
        <v>55.861251935969655</v>
      </c>
      <c r="U92" s="30">
        <v>-1.5108749224214013</v>
      </c>
      <c r="V92" s="30">
        <v>-1.56915058953251</v>
      </c>
      <c r="W92" s="30">
        <v>0.067240013445020189</v>
      </c>
      <c r="X92" s="30">
        <v>0.33333333333333331</v>
      </c>
      <c r="Y92" s="97">
        <v>1.0767500000000001</v>
      </c>
      <c r="Z92" s="30">
        <v>0.82949999999999979</v>
      </c>
      <c r="AA92" s="30">
        <v>0.24724999999999997</v>
      </c>
      <c r="AB92" s="30">
        <v>16.839290322984855</v>
      </c>
      <c r="AC92" s="30">
        <v>20.341228624480195</v>
      </c>
      <c r="AD92" s="30">
        <v>4</v>
      </c>
      <c r="AE92" s="30">
        <v>0.043749999999999997</v>
      </c>
      <c r="AF92" s="30">
        <v>4.0713158406457017</v>
      </c>
      <c r="AG92" s="30">
        <v>0.28650000000000003</v>
      </c>
      <c r="AH92" s="30">
        <v>0.076500000000000012</v>
      </c>
      <c r="AI92" s="30">
        <v>0.54300000000000004</v>
      </c>
      <c r="AJ92" s="30">
        <v>34.550157642262903</v>
      </c>
      <c r="AK92" s="30">
        <v>9.2556098477151103</v>
      </c>
      <c r="AL92" s="30">
        <v>65.449842357737097</v>
      </c>
      <c r="AM92" s="30">
        <v>-1.4766955990096986</v>
      </c>
      <c r="AN92" s="30">
        <v>-1.5387044338475242</v>
      </c>
      <c r="AO92" s="30">
        <v>0.070878856811618499</v>
      </c>
      <c r="AP92" s="30">
        <v>0.25</v>
      </c>
      <c r="AQ92" s="30">
        <v>1.0739999999999998</v>
      </c>
      <c r="AR92" s="30">
        <v>0.81600000000000006</v>
      </c>
      <c r="AS92" s="30">
        <v>0.25800000000000001</v>
      </c>
      <c r="AT92" s="30">
        <v>8.903958187621706</v>
      </c>
      <c r="AU92" s="30">
        <v>11.028043456396659</v>
      </c>
      <c r="AV92" s="30">
        <v>5</v>
      </c>
      <c r="AW92" s="30">
        <v>0.0195</v>
      </c>
      <c r="AX92" s="30">
        <v>5.1463973412612596</v>
      </c>
      <c r="AY92" s="30">
        <v>0.22350000000000003</v>
      </c>
      <c r="AZ92" s="30">
        <v>0.12</v>
      </c>
      <c r="BA92" s="30">
        <v>0.59250000000000003</v>
      </c>
      <c r="BB92" s="30">
        <v>27.786617177034088</v>
      </c>
      <c r="BC92" s="30">
        <v>14.770260924372527</v>
      </c>
      <c r="BD92" s="30">
        <v>72.213382822965912</v>
      </c>
      <c r="BE92" s="30">
        <v>-1.5203967413806787</v>
      </c>
      <c r="BF92" s="30">
        <v>-1.4192329926397009</v>
      </c>
      <c r="BG92" s="30">
        <v>0.072221789976451317</v>
      </c>
      <c r="BH92" s="30">
        <v>1</v>
      </c>
      <c r="BI92" s="30">
        <v>1.39975</v>
      </c>
      <c r="BJ92" s="30">
        <v>1.1070000000000002</v>
      </c>
      <c r="BK92" s="30">
        <v>0.29275000000000001</v>
      </c>
      <c r="BL92" s="30">
        <v>17.251821850430581</v>
      </c>
      <c r="BM92" s="30">
        <v>15.62476714707285</v>
      </c>
      <c r="BN92" s="30">
        <v>6</v>
      </c>
      <c r="BO92" s="30">
        <v>0.065750000000000003</v>
      </c>
      <c r="BP92" s="30">
        <v>6.1033756249044551</v>
      </c>
      <c r="BQ92" s="30">
        <v>0.41699999999999998</v>
      </c>
      <c r="BR92" s="30">
        <v>0.10500000000000001</v>
      </c>
      <c r="BS92" s="30">
        <v>0.69000000000000017</v>
      </c>
      <c r="BT92" s="30">
        <v>37.85886335886336</v>
      </c>
      <c r="BU92" s="30">
        <v>9.5519707978724373</v>
      </c>
      <c r="BV92" s="30">
        <v>62.14113664113664</v>
      </c>
      <c r="BW92" s="30">
        <v>-1.547790159679344</v>
      </c>
      <c r="BX92" s="30">
        <v>-1.6866338276512571</v>
      </c>
      <c r="BY92" s="30">
        <v>0.14468449208392631</v>
      </c>
      <c r="BZ92" s="30">
        <v>0.75</v>
      </c>
    </row>
    <row r="93">
      <c r="A93" s="42" t="s">
        <v>139</v>
      </c>
      <c r="B93" s="43">
        <v>2</v>
      </c>
      <c r="C93" s="119">
        <v>11.109999999999999</v>
      </c>
      <c r="D93" s="120">
        <v>0.10772725441711573</v>
      </c>
      <c r="E93" s="30">
        <v>0.36903785290662672</v>
      </c>
      <c r="F93" s="30">
        <v>0.47220190149856189</v>
      </c>
      <c r="G93" s="30">
        <v>0.67025000000000001</v>
      </c>
      <c r="H93" s="30">
        <v>0.36899999999999999</v>
      </c>
      <c r="I93" s="30">
        <v>0.30125000000000002</v>
      </c>
      <c r="J93" s="30">
        <v>9.0113034651648842</v>
      </c>
      <c r="K93" s="30">
        <v>24.634048216192156</v>
      </c>
      <c r="L93" s="30">
        <v>3</v>
      </c>
      <c r="M93" s="30">
        <v>0.051249999999999997</v>
      </c>
      <c r="N93" s="30">
        <v>3.1615006744341594</v>
      </c>
      <c r="O93" s="30">
        <v>0.15150000000000002</v>
      </c>
      <c r="P93" s="30">
        <v>0.064500000000000002</v>
      </c>
      <c r="Q93" s="30">
        <v>0.21749999999999997</v>
      </c>
      <c r="R93" s="30">
        <v>41.342618341366958</v>
      </c>
      <c r="S93" s="30">
        <v>17.657865735590988</v>
      </c>
      <c r="T93" s="30">
        <v>58.657381658633042</v>
      </c>
      <c r="U93" s="30">
        <v>-1.417167710933112</v>
      </c>
      <c r="V93" s="30">
        <v>-1.3436539826706182</v>
      </c>
      <c r="W93" s="30">
        <v>0.091526838844542477</v>
      </c>
      <c r="X93" s="30">
        <v>0</v>
      </c>
      <c r="Y93" s="97">
        <v>0.85500000000000009</v>
      </c>
      <c r="Z93" s="30">
        <v>0.50700000000000001</v>
      </c>
      <c r="AA93" s="30">
        <v>0.34799999999999998</v>
      </c>
      <c r="AB93" s="30">
        <v>16.838708556558409</v>
      </c>
      <c r="AC93" s="30">
        <v>33.249407295382412</v>
      </c>
      <c r="AD93" s="30">
        <v>4</v>
      </c>
      <c r="AE93" s="30">
        <v>0.039</v>
      </c>
      <c r="AF93" s="30">
        <v>4.0658351245630584</v>
      </c>
      <c r="AG93" s="30">
        <v>0.16800000000000001</v>
      </c>
      <c r="AH93" s="30">
        <v>0.070500000000000007</v>
      </c>
      <c r="AI93" s="30">
        <v>0.33900000000000002</v>
      </c>
      <c r="AJ93" s="30">
        <v>33.124537063023261</v>
      </c>
      <c r="AK93" s="30">
        <v>13.917590457354612</v>
      </c>
      <c r="AL93" s="30">
        <v>66.875462936976731</v>
      </c>
      <c r="AM93" s="30">
        <v>-1.4622952556306317</v>
      </c>
      <c r="AN93" s="30">
        <v>-1.3700494283050895</v>
      </c>
      <c r="AO93" s="30">
        <v>0.18712280614537985</v>
      </c>
      <c r="AP93" s="30">
        <v>0</v>
      </c>
      <c r="AQ93" s="30">
        <v>0.93650000000000022</v>
      </c>
      <c r="AR93" s="30">
        <v>0.55800000000000016</v>
      </c>
      <c r="AS93" s="30">
        <v>0.40700000000000003</v>
      </c>
      <c r="AT93" s="30">
        <v>9.0031114399860233</v>
      </c>
      <c r="AU93" s="30">
        <v>16.755904123760104</v>
      </c>
      <c r="AV93" s="30">
        <v>5</v>
      </c>
      <c r="AW93" s="30">
        <v>0.068500000000000005</v>
      </c>
      <c r="AX93" s="30">
        <v>5.1531053471393573</v>
      </c>
      <c r="AY93" s="30">
        <v>0.16200000000000001</v>
      </c>
      <c r="AZ93" s="30">
        <v>0.066000000000000003</v>
      </c>
      <c r="BA93" s="30">
        <v>0.39600000000000007</v>
      </c>
      <c r="BB93" s="30">
        <v>31.352129493537547</v>
      </c>
      <c r="BC93" s="30">
        <v>12.937749247973851</v>
      </c>
      <c r="BD93" s="30">
        <v>68.647870506462453</v>
      </c>
      <c r="BE93" s="30">
        <v>-1.4158508690614617</v>
      </c>
      <c r="BF93" s="30">
        <v>-1.36217886010391</v>
      </c>
      <c r="BG93" s="30">
        <v>0.14138099947326227</v>
      </c>
      <c r="BH93" s="30">
        <v>0.75</v>
      </c>
      <c r="BI93" s="30">
        <v>1.00275</v>
      </c>
      <c r="BJ93" s="30">
        <v>0.621</v>
      </c>
      <c r="BK93" s="30">
        <v>0.38175000000000003</v>
      </c>
      <c r="BL93" s="30">
        <v>16.998686810761065</v>
      </c>
      <c r="BM93" s="30">
        <v>27.516291954063473</v>
      </c>
      <c r="BN93" s="30">
        <v>6</v>
      </c>
      <c r="BO93" s="30">
        <v>0.068250000000000005</v>
      </c>
      <c r="BP93" s="30">
        <v>6.07680627125964</v>
      </c>
      <c r="BQ93" s="30">
        <v>0.18750000000000003</v>
      </c>
      <c r="BR93" s="30">
        <v>0.070500000000000007</v>
      </c>
      <c r="BS93" s="30">
        <v>0.4335</v>
      </c>
      <c r="BT93" s="30">
        <v>30.197218534881678</v>
      </c>
      <c r="BU93" s="30">
        <v>11.464497665997879</v>
      </c>
      <c r="BV93" s="30">
        <v>69.802781465118329</v>
      </c>
      <c r="BW93" s="30">
        <v>-1.4689997859789996</v>
      </c>
      <c r="BX93" s="30">
        <v>-1.4045591356091784</v>
      </c>
      <c r="BY93" s="30">
        <v>0.29978698536959281</v>
      </c>
      <c r="BZ93" s="30">
        <v>0</v>
      </c>
    </row>
    <row r="94">
      <c r="A94" s="42" t="s">
        <v>139</v>
      </c>
      <c r="B94" s="43">
        <v>1</v>
      </c>
      <c r="C94" s="140">
        <v>11.5</v>
      </c>
      <c r="D94" s="120">
        <v>0.11003236057407882</v>
      </c>
      <c r="E94" s="30">
        <v>1.2552059085538827</v>
      </c>
      <c r="F94" s="30">
        <v>0.065797338572716413</v>
      </c>
      <c r="G94" s="30">
        <v>1.3880000000000001</v>
      </c>
      <c r="H94" s="30">
        <v>0.84300000000000019</v>
      </c>
      <c r="I94" s="30">
        <v>0.54499999999999993</v>
      </c>
      <c r="J94" s="30">
        <v>8.6558487614545569</v>
      </c>
      <c r="K94" s="30">
        <v>10.581340972826597</v>
      </c>
      <c r="L94" s="30">
        <v>3</v>
      </c>
      <c r="M94" s="30">
        <v>0.040000000000000001</v>
      </c>
      <c r="N94" s="30">
        <v>3.1078488442278278</v>
      </c>
      <c r="O94" s="30">
        <v>0.38550000000000001</v>
      </c>
      <c r="P94" s="30">
        <v>0.24900000000000003</v>
      </c>
      <c r="Q94" s="30">
        <v>0.45750000000000002</v>
      </c>
      <c r="R94" s="30">
        <v>44.216218971359282</v>
      </c>
      <c r="S94" s="30">
        <v>28.850508919625337</v>
      </c>
      <c r="T94" s="30">
        <v>55.783781028640718</v>
      </c>
      <c r="U94" s="30">
        <v>-1.5167416817432708</v>
      </c>
      <c r="V94" s="30">
        <v>-1.5470473477726796</v>
      </c>
      <c r="W94" s="30">
        <v>0.050102014277632514</v>
      </c>
      <c r="X94" s="30">
        <v>0.5</v>
      </c>
      <c r="Y94" s="97">
        <v>2.00725</v>
      </c>
      <c r="Z94" s="30">
        <v>1.4730000000000003</v>
      </c>
      <c r="AA94" s="30">
        <v>0.53425</v>
      </c>
      <c r="AB94" s="30">
        <v>17.399789105881581</v>
      </c>
      <c r="AC94" s="30">
        <v>14.221218844961726</v>
      </c>
      <c r="AD94" s="30">
        <v>4</v>
      </c>
      <c r="AE94" s="30">
        <v>0.050750000000000003</v>
      </c>
      <c r="AF94" s="30">
        <v>4.0822332529021663</v>
      </c>
      <c r="AG94" s="30">
        <v>0.65100000000000002</v>
      </c>
      <c r="AH94" s="30">
        <v>0.11850000000000001</v>
      </c>
      <c r="AI94" s="30">
        <v>0.82200000000000029</v>
      </c>
      <c r="AJ94" s="30">
        <v>42.833533102870121</v>
      </c>
      <c r="AK94" s="30">
        <v>10.647943983579342</v>
      </c>
      <c r="AL94" s="30">
        <v>57.166466897129887</v>
      </c>
      <c r="AM94" s="30">
        <v>-1.694196733004619</v>
      </c>
      <c r="AN94" s="30">
        <v>-1.711551324971553</v>
      </c>
      <c r="AO94" s="30">
        <v>0.45213254533750857</v>
      </c>
      <c r="AP94" s="30">
        <v>1.75</v>
      </c>
      <c r="AQ94" s="30">
        <v>1.8212499999999998</v>
      </c>
      <c r="AR94" s="30">
        <v>1.452</v>
      </c>
      <c r="AS94" s="30">
        <v>0.47125000000000006</v>
      </c>
      <c r="AT94" s="30">
        <v>8.4605055433482992</v>
      </c>
      <c r="AU94" s="30">
        <v>5.9598917517190886</v>
      </c>
      <c r="AV94" s="30">
        <v>5</v>
      </c>
      <c r="AW94" s="30">
        <v>0.028250000000000004</v>
      </c>
      <c r="AX94" s="30">
        <v>5.1539853137996037</v>
      </c>
      <c r="AY94" s="30">
        <v>0.37050000000000005</v>
      </c>
      <c r="AZ94" s="30">
        <v>0.28800000000000003</v>
      </c>
      <c r="BA94" s="30">
        <v>1.0529999999999999</v>
      </c>
      <c r="BB94" s="30">
        <v>28.04679858702945</v>
      </c>
      <c r="BC94" s="30">
        <v>21.747864576528087</v>
      </c>
      <c r="BD94" s="30">
        <v>71.953201412970543</v>
      </c>
      <c r="BE94" s="30">
        <v>-1.6296002088086012</v>
      </c>
      <c r="BF94" s="30">
        <v>-1.5580010197796947</v>
      </c>
      <c r="BG94" s="30">
        <v>0.099926801717911545</v>
      </c>
      <c r="BH94" s="30">
        <v>2.5</v>
      </c>
      <c r="BI94" s="30">
        <v>1.83175</v>
      </c>
      <c r="BJ94" s="30">
        <v>1.407</v>
      </c>
      <c r="BK94" s="30">
        <v>0.53574999999999995</v>
      </c>
      <c r="BL94" s="30">
        <v>17.344764605579201</v>
      </c>
      <c r="BM94" s="30">
        <v>12.858597544813236</v>
      </c>
      <c r="BN94" s="30">
        <v>6</v>
      </c>
      <c r="BO94" s="30">
        <v>0.06275</v>
      </c>
      <c r="BP94" s="30">
        <v>6.0816607585529887</v>
      </c>
      <c r="BQ94" s="30">
        <v>0.6180000000000001</v>
      </c>
      <c r="BR94" s="30">
        <v>0.318</v>
      </c>
      <c r="BS94" s="30">
        <v>0.82799999999999996</v>
      </c>
      <c r="BT94" s="30">
        <v>47.386010391048984</v>
      </c>
      <c r="BU94" s="30">
        <v>23.484045924599283</v>
      </c>
      <c r="BV94" s="30">
        <v>52.613989608951009</v>
      </c>
      <c r="BW94" s="30">
        <v>-1.6756069645112208</v>
      </c>
      <c r="BX94" s="30">
        <v>-1.7594224010413124</v>
      </c>
      <c r="BY94" s="30">
        <v>0.22095470712885384</v>
      </c>
      <c r="BZ94" s="30">
        <v>1.75</v>
      </c>
    </row>
    <row r="95" s="162" customFormat="1" ht="15">
      <c r="A95" s="82" t="s">
        <v>138</v>
      </c>
      <c r="B95" s="82">
        <v>1</v>
      </c>
      <c r="C95" s="178">
        <v>11.800000000000001</v>
      </c>
      <c r="D95" s="90">
        <v>0.1351450007044209</v>
      </c>
      <c r="E95" s="91">
        <v>0.66757772352133193</v>
      </c>
      <c r="F95" s="91">
        <v>0.29447776913599455</v>
      </c>
      <c r="G95" s="30">
        <v>1.0070000000000001</v>
      </c>
      <c r="H95" s="30">
        <v>0.72749999999999992</v>
      </c>
      <c r="I95" s="30">
        <v>0.27949999999999997</v>
      </c>
      <c r="J95" s="30">
        <v>8.2503495402314044</v>
      </c>
      <c r="K95" s="30">
        <v>11.761568203721961</v>
      </c>
      <c r="L95" s="30">
        <v>3</v>
      </c>
      <c r="M95" s="30">
        <v>0.050500000000000003</v>
      </c>
      <c r="N95" s="30">
        <v>3.0375962227413207</v>
      </c>
      <c r="O95" s="30">
        <v>0.318</v>
      </c>
      <c r="P95" s="30">
        <v>0.16500000000000001</v>
      </c>
      <c r="Q95" s="30">
        <v>0.40950000000000009</v>
      </c>
      <c r="R95" s="30">
        <v>44.57208800633461</v>
      </c>
      <c r="S95" s="30">
        <v>22.440674064208764</v>
      </c>
      <c r="T95" s="30">
        <v>55.427911993665383</v>
      </c>
      <c r="U95" s="30">
        <v>-1.4248740050309849</v>
      </c>
      <c r="V95" s="30">
        <v>-1.5282222859086256</v>
      </c>
      <c r="W95" s="30">
        <v>0.083541854697216117</v>
      </c>
      <c r="X95" s="30">
        <v>0.25</v>
      </c>
      <c r="Y95" s="97">
        <v>1.3722500000000002</v>
      </c>
      <c r="Z95" s="30">
        <v>0.96899999999999997</v>
      </c>
      <c r="AA95" s="30">
        <v>0.40325</v>
      </c>
      <c r="AB95" s="30">
        <v>16.499172510762261</v>
      </c>
      <c r="AC95" s="30">
        <v>18.784676483553117</v>
      </c>
      <c r="AD95" s="30">
        <v>4</v>
      </c>
      <c r="AE95" s="30">
        <v>0.048249999999999994</v>
      </c>
      <c r="AF95" s="30">
        <v>4.038314902211563</v>
      </c>
      <c r="AG95" s="30">
        <v>0.52350000000000008</v>
      </c>
      <c r="AH95" s="30">
        <v>0.19650000000000004</v>
      </c>
      <c r="AI95" s="30">
        <v>0.4454999999999999</v>
      </c>
      <c r="AJ95" s="30">
        <v>48.797226513897719</v>
      </c>
      <c r="AK95" s="30">
        <v>16.475374756685785</v>
      </c>
      <c r="AL95" s="30">
        <v>51.202773486102274</v>
      </c>
      <c r="AM95" s="30">
        <v>-1.5247929879993039</v>
      </c>
      <c r="AN95" s="30">
        <v>-1.6048587138812138</v>
      </c>
      <c r="AO95" s="30">
        <v>0.1618559208178473</v>
      </c>
      <c r="AP95" s="30">
        <v>0.25</v>
      </c>
      <c r="AQ95" s="30">
        <v>1.24125</v>
      </c>
      <c r="AR95" s="30">
        <v>0.9225000000000001</v>
      </c>
      <c r="AS95" s="30">
        <v>0.31874999999999998</v>
      </c>
      <c r="AT95" s="30">
        <v>8.6145303889867648</v>
      </c>
      <c r="AU95" s="30">
        <v>9.3476705156464348</v>
      </c>
      <c r="AV95" s="30">
        <v>5</v>
      </c>
      <c r="AW95" s="30">
        <v>0.03075</v>
      </c>
      <c r="AX95" s="30">
        <v>5.0868541567717056</v>
      </c>
      <c r="AY95" s="30">
        <v>0.2475</v>
      </c>
      <c r="AZ95" s="30">
        <v>0.11850000000000001</v>
      </c>
      <c r="BA95" s="30">
        <v>0.67500000000000004</v>
      </c>
      <c r="BB95" s="30">
        <v>26.917695445962472</v>
      </c>
      <c r="BC95" s="30">
        <v>12.880740936156304</v>
      </c>
      <c r="BD95" s="30">
        <v>73.082304554037535</v>
      </c>
      <c r="BE95" s="30">
        <v>-1.4751758110633144</v>
      </c>
      <c r="BF95" s="30">
        <v>-1.4616645234755983</v>
      </c>
      <c r="BG95" s="30">
        <v>0.16456317882663843</v>
      </c>
      <c r="BH95" s="30">
        <v>1</v>
      </c>
      <c r="BI95" s="30">
        <v>1.512</v>
      </c>
      <c r="BJ95" s="30">
        <v>1.1175000000000002</v>
      </c>
      <c r="BK95" s="30">
        <v>0.39450000000000007</v>
      </c>
      <c r="BL95" s="30">
        <v>16.75729236254536</v>
      </c>
      <c r="BM95" s="30">
        <v>15.329134185023033</v>
      </c>
      <c r="BN95" s="30">
        <v>6</v>
      </c>
      <c r="BO95" s="30">
        <v>0.076499999999999999</v>
      </c>
      <c r="BP95" s="30">
        <v>6.0561040296145006</v>
      </c>
      <c r="BQ95" s="30">
        <v>0.27750000000000002</v>
      </c>
      <c r="BR95" s="30">
        <v>0.10200000000000001</v>
      </c>
      <c r="BS95" s="30">
        <v>0.84000000000000008</v>
      </c>
      <c r="BT95" s="30">
        <v>25.649884693265342</v>
      </c>
      <c r="BU95" s="30">
        <v>9.129770855207239</v>
      </c>
      <c r="BV95" s="30">
        <v>74.350115306734665</v>
      </c>
      <c r="BW95" s="30">
        <v>-1.5266468275507799</v>
      </c>
      <c r="BX95" s="30">
        <v>-1.5125269494409308</v>
      </c>
      <c r="BY95" s="30">
        <v>0.15908485392604638</v>
      </c>
      <c r="BZ95" s="30">
        <v>1.25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ONLYOFFICE/9.0.0.172</Application>
  <DocSecurity>0</DocSecurity>
  <ScaleCrop>0</ScaleCrop>
  <HeadingPairs>
    <vt:vector size="0" baseType="variant"/>
  </HeadingPairs>
  <TitlesOfParts>
    <vt:vector size="0" baseType="lpstr"/>
  </TitlesOfParts>
  <Company>UNIVERSITE DE POITIERS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BENCHEKRI AURELIE</dc:creator>
  <cp:revision>3</cp:revision>
  <dcterms:created xsi:type="dcterms:W3CDTF">2022-11-08T13:14:49Z</dcterms:created>
  <dcterms:modified xsi:type="dcterms:W3CDTF">2026-01-30T13:59:00Z</dcterms:modified>
</cp:coreProperties>
</file>